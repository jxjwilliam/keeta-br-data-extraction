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a146a9bd6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时数据" sheetId="1" r:id="Ra4aa6204ac2f4512"/>
    <x:sheet xmlns:r="http://schemas.openxmlformats.org/officeDocument/2006/relationships" name="字段来源与缺失" sheetId="2" r:id="R8e18bda9732c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B4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e83b788a64393" /><Relationship Type="http://schemas.openxmlformats.org/officeDocument/2006/relationships/theme" Target="/xl/theme/theme1.xml" Id="R58d45d9ee21f4c53" /><Relationship Type="http://schemas.openxmlformats.org/officeDocument/2006/relationships/sharedStrings" Target="/xl/sharedStrings.xml" Id="R95ed04daeb784432" /><Relationship Type="http://schemas.openxmlformats.org/officeDocument/2006/relationships/worksheet" Target="/xl/worksheets/sheet1.xml" Id="Ra4aa6204ac2f4512" /><Relationship Type="http://schemas.openxmlformats.org/officeDocument/2006/relationships/worksheet" Target="/xl/worksheets/sheet2.xml" Id="R8e18bda9732c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8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65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36" customHeight="1">
      <x:c r="A1" s="10" t="str">
        <x:v>批次号</x:v>
      </x:c>
      <x:c r="B1" s="10" t="str">
        <x:v>国家</x:v>
      </x:c>
      <x:c r="C1" s="10" t="str">
        <x:v>平台</x:v>
      </x:c>
      <x:c r="D1" s="10" t="str">
        <x:v>城市名称</x:v>
      </x:c>
      <x:c r="E1" s="10" t="str">
        <x:v>采集时间</x:v>
      </x:c>
      <x:c r="F1" s="10" t="str">
        <x:v>用户 ID</x:v>
      </x:c>
      <x:c r="G1" s="10" t="str">
        <x:v>历史完成订单数</x:v>
      </x:c>
      <x:c r="H1" s="10" t="str">
        <x:v>账号类型</x:v>
      </x:c>
      <x:c r="I1" s="10" t="str">
        <x:v>是否会员</x:v>
      </x:c>
      <x:c r="J1" s="10" t="str">
        <x:v>店铺 ID</x:v>
      </x:c>
      <x:c r="K1" s="10" t="str">
        <x:v>店铺名称</x:v>
      </x:c>
      <x:c r="L1" s="10" t="str">
        <x:v>采集点纬度</x:v>
      </x:c>
      <x:c r="M1" s="10" t="str">
        <x:v>采集点经度</x:v>
      </x:c>
      <x:c r="N1" s="10" t="str">
        <x:v>采集点地址</x:v>
      </x:c>
      <x:c r="O1" s="10" t="str">
        <x:v>店铺纬度</x:v>
      </x:c>
      <x:c r="P1" s="10" t="str">
        <x:v>店铺经度</x:v>
      </x:c>
      <x:c r="Q1" s="10" t="str">
        <x:v>店铺地址</x:v>
      </x:c>
      <x:c r="R1" s="10" t="str">
        <x:v>最小配送时长</x:v>
      </x:c>
      <x:c r="S1" s="10" t="str">
        <x:v>最大配送时长</x:v>
      </x:c>
      <x:c r="T1" s="10" t="str">
        <x:v>商品信息</x:v>
      </x:c>
      <x:c r="U1" s="10" t="str">
        <x:v>商品原价</x:v>
      </x:c>
      <x:c r="V1" s="10" t="str">
        <x:v>商品折后价</x:v>
      </x:c>
      <x:c r="W1" s="10" t="str">
        <x:v>配送费原价</x:v>
      </x:c>
      <x:c r="X1" s="10" t="str">
        <x:v>配送费折后价</x:v>
      </x:c>
      <x:c r="Y1" s="10" t="str">
        <x:v>服务费原价</x:v>
      </x:c>
      <x:c r="Z1" s="10" t="str">
        <x:v>服务费折后价</x:v>
      </x:c>
      <x:c r="AA1" s="10" t="str">
        <x:v>订单原价总额</x:v>
      </x:c>
      <x:c r="AB1" s="10" t="str">
        <x:v>订单折后总额</x:v>
      </x:c>
      <x:c r="AC1" s="10" t="str">
        <x:v>配送距离</x:v>
      </x:c>
      <x:c r="AD1" s="10" t="str">
        <x:v>店铺状态</x:v>
      </x:c>
    </x:row>
    <x:row r="2" ht="36" customHeight="1">
      <x:c r="A2" s="10" t="str">
        <x:v>batch_no</x:v>
      </x:c>
      <x:c r="B2" s="10" t="str">
        <x:v>country</x:v>
      </x:c>
      <x:c r="C2" s="10" t="str">
        <x:v>platform</x:v>
      </x:c>
      <x:c r="D2" s="10" t="str">
        <x:v>city_name</x:v>
      </x:c>
      <x:c r="E2" s="10" t="str">
        <x:v>crawl_time</x:v>
      </x:c>
      <x:c r="F2" s="10" t="str">
        <x:v>account_id</x:v>
      </x:c>
      <x:c r="G2" s="10" t="str">
        <x:v>user_completed_orders_count</x:v>
      </x:c>
      <x:c r="H2" s="10" t="str">
        <x:v>account_type</x:v>
      </x:c>
      <x:c r="I2" s="10" t="str">
        <x:v>is_member</x:v>
      </x:c>
      <x:c r="J2" s="10" t="str">
        <x:v>shop_id</x:v>
      </x:c>
      <x:c r="K2" s="10" t="str">
        <x:v>shop_name</x:v>
      </x:c>
      <x:c r="L2" s="10" t="str">
        <x:v>crawl_lat</x:v>
      </x:c>
      <x:c r="M2" s="10" t="str">
        <x:v>crawl_lng</x:v>
      </x:c>
      <x:c r="N2" s="10" t="str">
        <x:v>crawl_address</x:v>
      </x:c>
      <x:c r="O2" s="10" t="str">
        <x:v>shop_lat</x:v>
      </x:c>
      <x:c r="P2" s="10" t="str">
        <x:v>shop_lng</x:v>
      </x:c>
      <x:c r="Q2" s="10" t="str">
        <x:v>shop_address</x:v>
      </x:c>
      <x:c r="R2" s="10" t="str">
        <x:v>ceta_min</x:v>
      </x:c>
      <x:c r="S2" s="10" t="str">
        <x:v>ceta_max</x:v>
      </x:c>
      <x:c r="T2" s="10" t="str">
        <x:v>product_info</x:v>
      </x:c>
      <x:c r="U2" s="10" t="str">
        <x:v>product_original</x:v>
      </x:c>
      <x:c r="V2" s="10" t="str">
        <x:v>product_final</x:v>
      </x:c>
      <x:c r="W2" s="10" t="str">
        <x:v>delivery_original</x:v>
      </x:c>
      <x:c r="X2" s="10" t="str">
        <x:v>delivery_final</x:v>
      </x:c>
      <x:c r="Y2" s="10" t="str">
        <x:v>service_original</x:v>
      </x:c>
      <x:c r="Z2" s="10" t="str">
        <x:v>service_final</x:v>
      </x:c>
      <x:c r="AA2" s="10" t="str">
        <x:v>total_original</x:v>
      </x:c>
      <x:c r="AB2" s="10" t="str">
        <x:v>total_final</x:v>
      </x:c>
      <x:c r="AC2" s="10" t="str">
        <x:v>distance</x:v>
      </x:c>
      <x:c r="AD2" s="10" t="str">
        <x:v>shop_status</x:v>
      </x:c>
    </x:row>
    <x:row r="3">
      <x:c r="A3" s="7" t="str">
        <x:v>20261021</x:v>
      </x:c>
      <x:c r="B3" s="7" t="str">
        <x:v>巴西</x:v>
      </x:c>
      <x:c r="C3" s="7" t="str">
        <x:v>Keeta</x:v>
      </x:c>
      <x:c r="D3" s="7" t="str">
        <x:v>圣保罗</x:v>
      </x:c>
      <x:c r="E3" s="7" t="d">
        <x:v>2026-10-21T20:25:49.000Z</x:v>
      </x:c>
      <x:c r="F3" s="7"/>
      <x:c r="G3" s="7"/>
      <x:c r="H3" s="7"/>
      <x:c r="I3" s="7"/>
      <x:c r="J3" s="7"/>
      <x:c r="K3" s="7" t="str">
        <x:v>Massa do wild</x:v>
      </x:c>
      <x:c r="L3" s="7"/>
      <x:c r="M3" s="7"/>
      <x:c r="N3" s="7" t="str">
        <x:v>Rua Floriano Peixoto, 1, São Paulo, SP, Brazil</x:v>
      </x:c>
      <x:c r="O3" s="7"/>
      <x:c r="P3" s="7"/>
      <x:c r="Q3" s="7"/>
      <x:c r="R3" s="7"/>
      <x:c r="S3" s="7"/>
      <x:c r="T3" s="7" t="str">
        <x:v>1 × 意式肉酱意大利面（Espaguete à Bolonhesa），400 克</x:v>
      </x:c>
      <x:c r="U3" s="8" t="n">
        <x:v>4290</x:v>
      </x:c>
      <x:c r="V3" s="8" t="n">
        <x:v>4076</x:v>
      </x:c>
      <x:c r="W3" s="8" t="n">
        <x:v>799</x:v>
      </x:c>
      <x:c r="X3" s="8" t="n">
        <x:v>0</x:v>
      </x:c>
      <x:c r="Y3" s="8" t="n">
        <x:v>99</x:v>
      </x:c>
      <x:c r="Z3" s="8" t="n">
        <x:v>99</x:v>
      </x:c>
      <x:c r="AA3" s="8" t="n">
        <x:v>5188</x:v>
      </x:c>
      <x:c r="AB3" s="8" t="n">
        <x:v>4175</x:v>
      </x:c>
      <x:c r="AC3" s="7"/>
      <x:c r="AD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</x:row>
    <x:row r="5">
      <x:c r="A5" s="7" t="str">
        <x:v>金额单位：巴西雷亚尔分（BRL cents）；空白表示未取得，不是 0。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</x:row>
    <x:row r="6">
      <x:c r="A6" s="7" t="str">
        <x:v>仅 1 条当前结算记录；未下单。采集过程中保留用户默认地址、账号、语言与优惠。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</x:row>
    <x:row r="7">
      <x:c r="A7" s="7" t="str">
        <x:v>费用和商品来自同一结算会话的两次实时读取；总额均为 4175 分。地址来自用户声明。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</x:row>
    <x:row r="8">
      <x:c r="A8" s="7" t="str">
        <x:v>店名保留原名。商品中文为原商品名的翻译。用户 ID、电话和 Gmail 未导出。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3" hidden="0" customWidth="1"/>
    <x:col min="3" max="3" width="20" hidden="0" customWidth="1"/>
    <x:col min="4" max="4" width="65" hidden="0" customWidth="1"/>
    <x:col min="5" max="5" width="20" hidden="0" customWidth="1"/>
    <x:col min="6" max="6" width="90" hidden="0" customWidth="1"/>
  </x:cols>
  <x:sheetData>
    <x:row r="1" ht="28" customHeight="1">
      <x:c r="A1" s="12" t="str">
        <x:v>序号</x:v>
      </x:c>
      <x:c r="B1" s="12" t="str">
        <x:v>字段代码</x:v>
      </x:c>
      <x:c r="C1" s="12" t="str">
        <x:v>中文列名</x:v>
      </x:c>
      <x:c r="D1" s="12" t="str">
        <x:v>本次取值</x:v>
      </x:c>
      <x:c r="E1" s="12" t="str">
        <x:v>状态</x:v>
      </x:c>
      <x:c r="F1" s="12" t="str">
        <x:v>来源／缺失原因</x:v>
      </x:c>
    </x:row>
    <x:row r="2" ht="28" customHeight="1">
      <x:c r="A2" s="7" t="n">
        <x:v>1</x:v>
      </x:c>
      <x:c r="B2" s="7" t="str">
        <x:v>batch_no</x:v>
      </x:c>
      <x:c r="C2" s="7" t="str">
        <x:v>批次号</x:v>
      </x:c>
      <x:c r="D2" s="7" t="str">
        <x:v>20261021</x:v>
      </x:c>
      <x:c r="E2" s="7" t="str">
        <x:v>已取得</x:v>
      </x:c>
      <x:c r="F2" s="7" t="str">
        <x:v>按圣保罗采集日期生成。</x:v>
      </x:c>
    </x:row>
    <x:row r="3" ht="28" customHeight="1">
      <x:c r="A3" s="7" t="n">
        <x:v>2</x:v>
      </x:c>
      <x:c r="B3" s="7" t="str">
        <x:v>country</x:v>
      </x:c>
      <x:c r="C3" s="7" t="str">
        <x:v>国家</x:v>
      </x:c>
      <x:c r="D3" s="7" t="str">
        <x:v>巴西</x:v>
      </x:c>
      <x:c r="E3" s="7" t="str">
        <x:v>采集上下文</x:v>
      </x:c>
      <x:c r="F3" s="7" t="str">
        <x:v>用户确认的当前巴西市场设置。</x:v>
      </x:c>
    </x:row>
    <x:row r="4" ht="28" customHeight="1">
      <x:c r="A4" s="7" t="n">
        <x:v>3</x:v>
      </x:c>
      <x:c r="B4" s="7" t="str">
        <x:v>platform</x:v>
      </x:c>
      <x:c r="C4" s="7" t="str">
        <x:v>平台</x:v>
      </x:c>
      <x:c r="D4" s="7" t="str">
        <x:v>Keeta</x:v>
      </x:c>
      <x:c r="E4" s="7" t="str">
        <x:v>采集上下文</x:v>
      </x:c>
      <x:c r="F4" s="7" t="str">
        <x:v>当前 App 为 Keeta。</x:v>
      </x:c>
    </x:row>
    <x:row r="5" ht="28" customHeight="1">
      <x:c r="A5" s="7" t="n">
        <x:v>4</x:v>
      </x:c>
      <x:c r="B5" s="7" t="str">
        <x:v>city_name</x:v>
      </x:c>
      <x:c r="C5" s="7" t="str">
        <x:v>城市名称</x:v>
      </x:c>
      <x:c r="D5" s="7" t="str">
        <x:v>圣保罗</x:v>
      </x:c>
      <x:c r="E5" s="7" t="str">
        <x:v>采集上下文</x:v>
      </x:c>
      <x:c r="F5" s="7" t="str">
        <x:v>用户确认的当前圣保罗设置。</x:v>
      </x:c>
    </x:row>
    <x:row r="6" ht="28" customHeight="1">
      <x:c r="A6" s="7" t="n">
        <x:v>5</x:v>
      </x:c>
      <x:c r="B6" s="7" t="str">
        <x:v>crawl_time</x:v>
      </x:c>
      <x:c r="C6" s="7" t="str">
        <x:v>采集时间</x:v>
      </x:c>
      <x:c r="D6" s="7" t="d">
        <x:v>2026-10-21T20:25:49.000Z</x:v>
      </x:c>
      <x:c r="E6" s="7" t="str">
        <x:v>已取得</x:v>
      </x:c>
      <x:c r="F6" s="7" t="str">
        <x:v>费用页 XML 导出完成时间，UTC−03:00；非报价生成时间。</x:v>
      </x:c>
    </x:row>
    <x:row r="7" ht="28" customHeight="1">
      <x:c r="A7" s="7" t="n">
        <x:v>6</x:v>
      </x:c>
      <x:c r="B7" s="7" t="str">
        <x:v>account_id</x:v>
      </x:c>
      <x:c r="C7" s="7" t="str">
        <x:v>用户 ID</x:v>
      </x:c>
      <x:c r="D7" s="13"/>
      <x:c r="E7" s="13" t="str">
        <x:v>未取得</x:v>
      </x:c>
      <x:c r="F7" s="7" t="str">
        <x:v>界面未展示账号 ID；不使用 Gmail 或设备序列号替代。</x:v>
      </x:c>
    </x:row>
    <x:row r="8" ht="28" customHeight="1">
      <x:c r="A8" s="7" t="n">
        <x:v>7</x:v>
      </x:c>
      <x:c r="B8" s="7" t="str">
        <x:v>user_completed_orders_count</x:v>
      </x:c>
      <x:c r="C8" s="7" t="str">
        <x:v>历史完成订单数</x:v>
      </x:c>
      <x:c r="D8" s="13"/>
      <x:c r="E8" s="13" t="str">
        <x:v>未取得</x:v>
      </x:c>
      <x:c r="F8" s="7" t="str">
        <x:v>未读取历史订单。</x:v>
      </x:c>
    </x:row>
    <x:row r="9" ht="28" customHeight="1">
      <x:c r="A9" s="7" t="n">
        <x:v>8</x:v>
      </x:c>
      <x:c r="B9" s="7" t="str">
        <x:v>account_type</x:v>
      </x:c>
      <x:c r="C9" s="7" t="str">
        <x:v>账号类型</x:v>
      </x:c>
      <x:c r="D9" s="13"/>
      <x:c r="E9" s="13" t="str">
        <x:v>未取得</x:v>
      </x:c>
      <x:c r="F9" s="7" t="str">
        <x:v>未核实历史完成订单数；促销文案不作为账号类型证明。</x:v>
      </x:c>
    </x:row>
    <x:row r="10" ht="28" customHeight="1">
      <x:c r="A10" s="7" t="n">
        <x:v>9</x:v>
      </x:c>
      <x:c r="B10" s="7" t="str">
        <x:v>is_member</x:v>
      </x:c>
      <x:c r="C10" s="7" t="str">
        <x:v>是否会员</x:v>
      </x:c>
      <x:c r="D10" s="13"/>
      <x:c r="E10" s="13" t="str">
        <x:v>未取得</x:v>
      </x:c>
      <x:c r="F10" s="7" t="str">
        <x:v>未核实会员状态。</x:v>
      </x:c>
    </x:row>
    <x:row r="11" ht="28" customHeight="1">
      <x:c r="A11" s="7" t="n">
        <x:v>10</x:v>
      </x:c>
      <x:c r="B11" s="7" t="str">
        <x:v>shop_id</x:v>
      </x:c>
      <x:c r="C11" s="7" t="str">
        <x:v>店铺 ID</x:v>
      </x:c>
      <x:c r="D11" s="13"/>
      <x:c r="E11" s="13" t="str">
        <x:v>未取得</x:v>
      </x:c>
      <x:c r="F11" s="7" t="str">
        <x:v>既有分享链接店铺 ID 与本次店名未核对，不关联。</x:v>
      </x:c>
    </x:row>
    <x:row r="12" ht="28" customHeight="1">
      <x:c r="A12" s="7" t="n">
        <x:v>11</x:v>
      </x:c>
      <x:c r="B12" s="7" t="str">
        <x:v>shop_name</x:v>
      </x:c>
      <x:c r="C12" s="7" t="str">
        <x:v>店铺名称</x:v>
      </x:c>
      <x:c r="D12" s="7" t="str">
        <x:v>Massa do wild</x:v>
      </x:c>
      <x:c r="E12" s="7" t="str">
        <x:v>已取得</x:v>
      </x:c>
      <x:c r="F12" s="7" t="str">
        <x:v>本次实时结算页 Order summary。</x:v>
      </x:c>
    </x:row>
    <x:row r="13" ht="28" customHeight="1">
      <x:c r="A13" s="7" t="n">
        <x:v>12</x:v>
      </x:c>
      <x:c r="B13" s="7" t="str">
        <x:v>crawl_lat</x:v>
      </x:c>
      <x:c r="C13" s="7" t="str">
        <x:v>采集点纬度</x:v>
      </x:c>
      <x:c r="D13" s="13"/>
      <x:c r="E13" s="13" t="str">
        <x:v>未取得</x:v>
      </x:c>
      <x:c r="F13" s="7" t="str">
        <x:v>未读取配送地址坐标；不用手机 GPS 替代。</x:v>
      </x:c>
    </x:row>
    <x:row r="14" ht="28" customHeight="1">
      <x:c r="A14" s="7" t="n">
        <x:v>13</x:v>
      </x:c>
      <x:c r="B14" s="7" t="str">
        <x:v>crawl_lng</x:v>
      </x:c>
      <x:c r="C14" s="7" t="str">
        <x:v>采集点经度</x:v>
      </x:c>
      <x:c r="D14" s="13"/>
      <x:c r="E14" s="13" t="str">
        <x:v>未取得</x:v>
      </x:c>
      <x:c r="F14" s="7" t="str">
        <x:v>未读取配送地址坐标；不用手机 GPS 替代。</x:v>
      </x:c>
    </x:row>
    <x:row r="15" ht="28" customHeight="1">
      <x:c r="A15" s="7" t="n">
        <x:v>14</x:v>
      </x:c>
      <x:c r="B15" s="7" t="str">
        <x:v>crawl_address</x:v>
      </x:c>
      <x:c r="C15" s="7" t="str">
        <x:v>采集点地址</x:v>
      </x:c>
      <x:c r="D15" s="7" t="str">
        <x:v>Rua Floriano Peixoto, 1, São Paulo, SP, Brazil</x:v>
      </x:c>
      <x:c r="E15" s="7" t="str">
        <x:v>采集上下文</x:v>
      </x:c>
      <x:c r="F15" s="7" t="str">
        <x:v>用户提供的当前默认地址；本轮未在结算页顶部再次核验。</x:v>
      </x:c>
    </x:row>
    <x:row r="16" ht="28" customHeight="1">
      <x:c r="A16" s="7" t="n">
        <x:v>15</x:v>
      </x:c>
      <x:c r="B16" s="7" t="str">
        <x:v>shop_lat</x:v>
      </x:c>
      <x:c r="C16" s="7" t="str">
        <x:v>店铺纬度</x:v>
      </x:c>
      <x:c r="D16" s="13"/>
      <x:c r="E16" s="13" t="str">
        <x:v>未取得</x:v>
      </x:c>
      <x:c r="F16" s="7" t="str">
        <x:v>未读取店铺坐标。</x:v>
      </x:c>
    </x:row>
    <x:row r="17" ht="28" customHeight="1">
      <x:c r="A17" s="7" t="n">
        <x:v>16</x:v>
      </x:c>
      <x:c r="B17" s="7" t="str">
        <x:v>shop_lng</x:v>
      </x:c>
      <x:c r="C17" s="7" t="str">
        <x:v>店铺经度</x:v>
      </x:c>
      <x:c r="D17" s="13"/>
      <x:c r="E17" s="13" t="str">
        <x:v>未取得</x:v>
      </x:c>
      <x:c r="F17" s="7" t="str">
        <x:v>未读取店铺坐标。</x:v>
      </x:c>
    </x:row>
    <x:row r="18" ht="28" customHeight="1">
      <x:c r="A18" s="7" t="n">
        <x:v>17</x:v>
      </x:c>
      <x:c r="B18" s="7" t="str">
        <x:v>shop_address</x:v>
      </x:c>
      <x:c r="C18" s="7" t="str">
        <x:v>店铺地址</x:v>
      </x:c>
      <x:c r="D18" s="13"/>
      <x:c r="E18" s="13" t="str">
        <x:v>未取得</x:v>
      </x:c>
      <x:c r="F18" s="7" t="str">
        <x:v>未读取店铺详情地址。</x:v>
      </x:c>
    </x:row>
    <x:row r="19" ht="28" customHeight="1">
      <x:c r="A19" s="7" t="n">
        <x:v>18</x:v>
      </x:c>
      <x:c r="B19" s="7" t="str">
        <x:v>ceta_min</x:v>
      </x:c>
      <x:c r="C19" s="7" t="str">
        <x:v>最小配送时长</x:v>
      </x:c>
      <x:c r="D19" s="13"/>
      <x:c r="E19" s="13" t="str">
        <x:v>未取得</x:v>
      </x:c>
      <x:c r="F19" s="7" t="str">
        <x:v>未取得本轮实时 ETA；历史截图不混入本轮报价。</x:v>
      </x:c>
    </x:row>
    <x:row r="20" ht="28" customHeight="1">
      <x:c r="A20" s="7" t="n">
        <x:v>19</x:v>
      </x:c>
      <x:c r="B20" s="7" t="str">
        <x:v>ceta_max</x:v>
      </x:c>
      <x:c r="C20" s="7" t="str">
        <x:v>最大配送时长</x:v>
      </x:c>
      <x:c r="D20" s="13"/>
      <x:c r="E20" s="13" t="str">
        <x:v>未取得</x:v>
      </x:c>
      <x:c r="F20" s="7" t="str">
        <x:v>未取得本轮实时 ETA；历史截图不混入本轮报价。</x:v>
      </x:c>
    </x:row>
    <x:row r="21" ht="28" customHeight="1">
      <x:c r="A21" s="7" t="n">
        <x:v>20</x:v>
      </x:c>
      <x:c r="B21" s="7" t="str">
        <x:v>product_info</x:v>
      </x:c>
      <x:c r="C21" s="7" t="str">
        <x:v>商品信息</x:v>
      </x:c>
      <x:c r="D21" s="7" t="str">
        <x:v>1 × 意式肉酱意大利面（Espaguete à Bolonhesa），400 克</x:v>
      </x:c>
      <x:c r="E21" s="7" t="str">
        <x:v>已取得</x:v>
      </x:c>
      <x:c r="F21" s="7" t="str">
        <x:v>本次实时商品行：1 × Espaguete à Bolonhesa；Porção de 400g。</x:v>
      </x:c>
    </x:row>
    <x:row r="22" ht="28" customHeight="1">
      <x:c r="A22" s="7" t="n">
        <x:v>21</x:v>
      </x:c>
      <x:c r="B22" s="7" t="str">
        <x:v>product_original</x:v>
      </x:c>
      <x:c r="C22" s="7" t="str">
        <x:v>商品原价</x:v>
      </x:c>
      <x:c r="D22" s="7" t="n">
        <x:v>4290</x:v>
      </x:c>
      <x:c r="E22" s="7" t="str">
        <x:v>已取得</x:v>
      </x:c>
      <x:c r="F22" s="7" t="str">
        <x:v>实时费用页 Subtotal R$42.90；商品行原价一致。</x:v>
      </x:c>
    </x:row>
    <x:row r="23" ht="28" customHeight="1">
      <x:c r="A23" s="7" t="n">
        <x:v>22</x:v>
      </x:c>
      <x:c r="B23" s="7" t="str">
        <x:v>product_final</x:v>
      </x:c>
      <x:c r="C23" s="7" t="str">
        <x:v>商品折后价</x:v>
      </x:c>
      <x:c r="D23" s="7" t="n">
        <x:v>4076</x:v>
      </x:c>
      <x:c r="E23" s="7" t="str">
        <x:v>已取得</x:v>
      </x:c>
      <x:c r="F23" s="7" t="str">
        <x:v>实时商品行 R$40.76；与 4290−214 一致。</x:v>
      </x:c>
    </x:row>
    <x:row r="24" ht="28" customHeight="1">
      <x:c r="A24" s="7" t="n">
        <x:v>23</x:v>
      </x:c>
      <x:c r="B24" s="7" t="str">
        <x:v>delivery_original</x:v>
      </x:c>
      <x:c r="C24" s="7" t="str">
        <x:v>配送费原价</x:v>
      </x:c>
      <x:c r="D24" s="7" t="n">
        <x:v>799</x:v>
      </x:c>
      <x:c r="E24" s="7" t="str">
        <x:v>已取得</x:v>
      </x:c>
      <x:c r="F24" s="7" t="str">
        <x:v>实时 Delivery fee 划线价 R$7.99。</x:v>
      </x:c>
    </x:row>
    <x:row r="25" ht="28" customHeight="1">
      <x:c r="A25" s="7" t="n">
        <x:v>24</x:v>
      </x:c>
      <x:c r="B25" s="7" t="str">
        <x:v>delivery_final</x:v>
      </x:c>
      <x:c r="C25" s="7" t="str">
        <x:v>配送费折后价</x:v>
      </x:c>
      <x:c r="D25" s="7" t="n">
        <x:v>0</x:v>
      </x:c>
      <x:c r="E25" s="7" t="str">
        <x:v>已取得</x:v>
      </x:c>
      <x:c r="F25" s="7" t="str">
        <x:v>实时 Delivery fee 显示 Free，归一为 0 分。</x:v>
      </x:c>
    </x:row>
    <x:row r="26" ht="28" customHeight="1">
      <x:c r="A26" s="7" t="n">
        <x:v>25</x:v>
      </x:c>
      <x:c r="B26" s="7" t="str">
        <x:v>service_original</x:v>
      </x:c>
      <x:c r="C26" s="7" t="str">
        <x:v>服务费原价</x:v>
      </x:c>
      <x:c r="D26" s="7" t="n">
        <x:v>99</x:v>
      </x:c>
      <x:c r="E26" s="7" t="str">
        <x:v>按项目口径</x:v>
      </x:c>
      <x:c r="F26" s="7" t="str">
        <x:v>实时 Service fee 仅显示 R$0.99；按项目规则原价/现价均填 99，未独立展示原价。</x:v>
      </x:c>
    </x:row>
    <x:row r="27" ht="28" customHeight="1">
      <x:c r="A27" s="7" t="n">
        <x:v>26</x:v>
      </x:c>
      <x:c r="B27" s="7" t="str">
        <x:v>service_final</x:v>
      </x:c>
      <x:c r="C27" s="7" t="str">
        <x:v>服务费折后价</x:v>
      </x:c>
      <x:c r="D27" s="7" t="n">
        <x:v>99</x:v>
      </x:c>
      <x:c r="E27" s="7" t="str">
        <x:v>已取得</x:v>
      </x:c>
      <x:c r="F27" s="7" t="str">
        <x:v>实时 Service fee R$0.99。</x:v>
      </x:c>
    </x:row>
    <x:row r="28" ht="28" customHeight="1">
      <x:c r="A28" s="7" t="n">
        <x:v>27</x:v>
      </x:c>
      <x:c r="B28" s="7" t="str">
        <x:v>total_original</x:v>
      </x:c>
      <x:c r="C28" s="7" t="str">
        <x:v>订单原价总额</x:v>
      </x:c>
      <x:c r="D28" s="7" t="n">
        <x:v>5188</x:v>
      </x:c>
      <x:c r="E28" s="7" t="str">
        <x:v>计算值</x:v>
      </x:c>
      <x:c r="F28" s="7" t="str">
        <x:v>计算值：4290+799+99=5188；页面未独立显示原价总额。</x:v>
      </x:c>
    </x:row>
    <x:row r="29" ht="28" customHeight="1">
      <x:c r="A29" s="7" t="n">
        <x:v>28</x:v>
      </x:c>
      <x:c r="B29" s="7" t="str">
        <x:v>total_final</x:v>
      </x:c>
      <x:c r="C29" s="7" t="str">
        <x:v>订单折后总额</x:v>
      </x:c>
      <x:c r="D29" s="7" t="n">
        <x:v>4175</x:v>
      </x:c>
      <x:c r="E29" s="7" t="str">
        <x:v>已取得</x:v>
      </x:c>
      <x:c r="F29" s="7" t="str">
        <x:v>实时 Total R$41.75。</x:v>
      </x:c>
    </x:row>
    <x:row r="30" ht="28" customHeight="1">
      <x:c r="A30" s="7" t="n">
        <x:v>29</x:v>
      </x:c>
      <x:c r="B30" s="7" t="str">
        <x:v>distance</x:v>
      </x:c>
      <x:c r="C30" s="7" t="str">
        <x:v>配送距离</x:v>
      </x:c>
      <x:c r="D30" s="13"/>
      <x:c r="E30" s="13" t="str">
        <x:v>未取得</x:v>
      </x:c>
      <x:c r="F30" s="7" t="str">
        <x:v>未读取配送距离。</x:v>
      </x:c>
    </x:row>
    <x:row r="31" ht="28" customHeight="1">
      <x:c r="A31" s="7" t="n">
        <x:v>30</x:v>
      </x:c>
      <x:c r="B31" s="7" t="str">
        <x:v>shop_status</x:v>
      </x:c>
      <x:c r="C31" s="7" t="str">
        <x:v>店铺状态</x:v>
      </x:c>
      <x:c r="D31" s="13"/>
      <x:c r="E31" s="13" t="str">
        <x:v>未取得</x:v>
      </x:c>
      <x:c r="F31" s="7" t="str">
        <x:v>未核实显式营业状态；可见结算页不直接标记 open。</x:v>
      </x:c>
    </x:row>
    <x:row r="32">
      <x:c r="A32" s="7"/>
      <x:c r="B32" s="7"/>
      <x:c r="C32" s="7"/>
      <x:c r="D32" s="7"/>
      <x:c r="E32" s="7"/>
      <x:c r="F32" s="7"/>
    </x:row>
    <x:row r="33">
      <x:c r="A33" s="7" t="str">
        <x:v>金额校验（分）</x:v>
      </x:c>
      <x:c r="B33" s="7" t="str">
        <x:v>计算结果</x:v>
      </x:c>
      <x:c r="C33" s="7" t="str">
        <x:v>应为</x:v>
      </x:c>
      <x:c r="D33" s="7"/>
      <x:c r="E33" s="7"/>
      <x:c r="F33" s="7"/>
    </x:row>
    <x:row r="34">
      <x:c r="A34" s="7" t="str">
        <x:v>商品折后价＋配送费＋服务费</x:v>
      </x:c>
      <x:c r="B34" s="7" t="n">
        <x:f>'实时数据'!V3+'实时数据'!X3+'实时数据'!Z3</x:f>
        <x:v>4175</x:v>
      </x:c>
      <x:c r="C34" s="7" t="n">
        <x:v>4175</x:v>
      </x:c>
      <x:c r="D34" s="7"/>
      <x:c r="E34" s="7"/>
      <x:c r="F34" s="7"/>
    </x:row>
    <x:row r="35">
      <x:c r="A35" s="7" t="str">
        <x:v>原价总额－优惠 1013 分</x:v>
      </x:c>
      <x:c r="B35" s="7" t="n">
        <x:f>'实时数据'!AA3-1013</x:f>
        <x:v>4175</x:v>
      </x:c>
      <x:c r="C35" s="7" t="n">
        <x:v>4175</x:v>
      </x:c>
      <x:c r="D35" s="7"/>
      <x:c r="E35" s="7"/>
      <x:c r="F35" s="7"/>
    </x:row>
    <x:row r="36">
      <x:c r="A36" s="7" t="str">
        <x:v>缺失字段数</x:v>
      </x:c>
      <x:c r="B36" s="7" t="n">
        <x:v>14</x:v>
      </x:c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 t="str">
        <x:v>实时证据：fees.png / evidence.json；时间采用费用 XML 的导出完成时间。</x:v>
      </x:c>
      <x:c r="B38" s="7"/>
      <x:c r="C38" s="7"/>
      <x:c r="D38" s="7"/>
      <x:c r="E38" s="7"/>
      <x:c r="F38" s="7"/>
    </x:row>
  </x:sheetData>
  <x:pageMargins left="0.7" right="0.7" top="0.75" bottom="0.75" header="0.3" footer="0.3"/>
</x:worksheet>
</file>