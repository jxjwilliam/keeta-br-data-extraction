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字段中文对照" sheetId="2" state="visible" r:id="rId4"/>
    <sheet name="样例数据" sheetId="3" state="visible" r:id="rId5"/>
    <sheet name="红框原文对照" sheetId="4" state="visible" r:id="rId6"/>
    <sheet name="参考截图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<sst xmlns="http://schemas.openxmlformats.org/spreadsheetml/2006/main" count="419" uniqueCount="337">
  <si>
    <r>
      <rPr>
        <b val="true"/>
        <sz val="18"/>
        <color rgb="FF1F4E79"/>
        <rFont val="Noto Sans CJK SC"/>
        <family val="2"/>
      </rPr>
      <t xml:space="preserve">巴西 </t>
    </r>
    <r>
      <rPr>
        <b val="true"/>
        <sz val="18"/>
        <color rgb="FF1F4E79"/>
        <rFont val="Arial"/>
        <family val="0"/>
        <charset val="1"/>
      </rPr>
      <t xml:space="preserve">Keeta </t>
    </r>
    <r>
      <rPr>
        <b val="true"/>
        <sz val="18"/>
        <color rgb="FF1F4E79"/>
        <rFont val="Noto Sans CJK SC"/>
        <family val="2"/>
      </rPr>
      <t xml:space="preserve">结算页字段样例（中文版）</t>
    </r>
  </si>
  <si>
    <r>
      <rPr>
        <i val="true"/>
        <sz val="10"/>
        <color rgb="FF595959"/>
        <rFont val="Noto Sans CJK SC"/>
        <family val="2"/>
      </rPr>
      <t xml:space="preserve">整理日期：</t>
    </r>
    <r>
      <rPr>
        <i val="true"/>
        <sz val="10"/>
        <color rgb="FF595959"/>
        <rFont val="Arial"/>
        <family val="0"/>
        <charset val="1"/>
      </rPr>
      <t xml:space="preserve">2026-10-20</t>
    </r>
    <r>
      <rPr>
        <i val="true"/>
        <sz val="10"/>
        <color rgb="FF595959"/>
        <rFont val="Noto Sans CJK SC"/>
        <family val="2"/>
      </rPr>
      <t xml:space="preserve">　｜　数据性质：参考截图转录 </t>
    </r>
    <r>
      <rPr>
        <i val="true"/>
        <sz val="10"/>
        <color rgb="FF595959"/>
        <rFont val="Arial"/>
        <family val="0"/>
        <charset val="1"/>
      </rPr>
      <t xml:space="preserve">+ </t>
    </r>
    <r>
      <rPr>
        <i val="true"/>
        <sz val="10"/>
        <color rgb="FF595959"/>
        <rFont val="Noto Sans CJK SC"/>
        <family val="2"/>
      </rPr>
      <t xml:space="preserve">中文翻译，非实时抓取　｜　币种：巴西雷亚尔（</t>
    </r>
    <r>
      <rPr>
        <i val="true"/>
        <sz val="10"/>
        <color rgb="FF595959"/>
        <rFont val="Arial"/>
        <family val="0"/>
        <charset val="1"/>
      </rPr>
      <t xml:space="preserve">BRL</t>
    </r>
    <r>
      <rPr>
        <i val="true"/>
        <sz val="10"/>
        <color rgb="FF595959"/>
        <rFont val="Noto Sans CJK SC"/>
        <family val="2"/>
      </rPr>
      <t xml:space="preserve">，未换算人民币）</t>
    </r>
  </si>
  <si>
    <t xml:space="preserve">一、任务与结论</t>
  </si>
  <si>
    <t xml:space="preserve">任务</t>
  </si>
  <si>
    <r>
      <rPr>
        <sz val="10"/>
        <rFont val="Noto Sans CJK SC"/>
        <family val="2"/>
      </rPr>
      <t xml:space="preserve">查询巴西 </t>
    </r>
    <r>
      <rPr>
        <sz val="10"/>
        <rFont val="Arial"/>
        <family val="0"/>
        <charset val="1"/>
      </rPr>
      <t xml:space="preserve">Keeta App</t>
    </r>
    <r>
      <rPr>
        <sz val="10"/>
        <rFont val="Noto Sans CJK SC"/>
        <family val="2"/>
      </rPr>
      <t xml:space="preserve">，找到与参考图红框相同口径的数据，并把列名和数据翻译为中文。</t>
    </r>
  </si>
  <si>
    <r>
      <rPr>
        <b val="true"/>
        <sz val="10"/>
        <rFont val="Arial"/>
        <family val="0"/>
        <charset val="1"/>
      </rPr>
      <t xml:space="preserve">App </t>
    </r>
    <r>
      <rPr>
        <b val="true"/>
        <sz val="10"/>
        <rFont val="Noto Sans CJK SC"/>
        <family val="2"/>
      </rPr>
      <t xml:space="preserve">核验</t>
    </r>
  </si>
  <si>
    <r>
      <rPr>
        <sz val="10"/>
        <rFont val="Noto Sans CJK SC"/>
        <family val="2"/>
      </rPr>
      <t xml:space="preserve">巴西消费端 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Keeta - Food Delivery</t>
    </r>
    <r>
      <rPr>
        <sz val="10"/>
        <rFont val="Noto Sans CJK SC"/>
        <family val="2"/>
      </rPr>
      <t xml:space="preserve">（美团旗下），</t>
    </r>
    <r>
      <rPr>
        <sz val="10"/>
        <rFont val="Arial"/>
        <family val="0"/>
        <charset val="1"/>
      </rPr>
      <t xml:space="preserve">Android </t>
    </r>
    <r>
      <rPr>
        <sz val="10"/>
        <rFont val="Noto Sans CJK SC"/>
        <family val="2"/>
      </rPr>
      <t xml:space="preserve">包名 </t>
    </r>
    <r>
      <rPr>
        <sz val="10"/>
        <rFont val="Arial"/>
        <family val="0"/>
        <charset val="1"/>
      </rPr>
      <t xml:space="preserve">com.sankuai.sailor.afooddelivery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iOS App ID 1662451643</t>
    </r>
    <r>
      <rPr>
        <sz val="10"/>
        <rFont val="Noto Sans CJK SC"/>
        <family val="2"/>
      </rPr>
      <t xml:space="preserve">。</t>
    </r>
  </si>
  <si>
    <t xml:space="preserve">访问结论</t>
  </si>
  <si>
    <r>
      <rPr>
        <sz val="10"/>
        <rFont val="Noto Sans CJK SC"/>
        <family val="2"/>
      </rPr>
      <t xml:space="preserve">本会话沙箱的出海网络白名单为空，</t>
    </r>
    <r>
      <rPr>
        <sz val="10"/>
        <rFont val="Arial"/>
        <family val="0"/>
        <charset val="1"/>
      </rPr>
      <t xml:space="preserve">m.keeta-global.com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m.mykeeta.com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url-eu.mykeeta.com </t>
    </r>
    <r>
      <rPr>
        <sz val="10"/>
        <rFont val="Noto Sans CJK SC"/>
        <family val="2"/>
      </rPr>
      <t xml:space="preserve">均被拦截；也没有巴西手机号</t>
    </r>
    <r>
      <rPr>
        <sz val="10"/>
        <rFont val="Arial"/>
        <family val="0"/>
        <charset val="1"/>
      </rPr>
      <t xml:space="preserve">/App </t>
    </r>
    <r>
      <rPr>
        <sz val="10"/>
        <rFont val="Noto Sans CJK SC"/>
        <family val="2"/>
      </rPr>
      <t xml:space="preserve">登录环境，无法读取实时店铺页与结算页。</t>
    </r>
  </si>
  <si>
    <t xml:space="preserve">本次交付</t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</si>
  <si>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weixin-3.png</t>
    </r>
    <r>
      <rPr>
        <sz val="10"/>
        <rFont val="Noto Sans CJK SC"/>
        <family val="2"/>
      </rPr>
      <t xml:space="preserve">（结算页）为准转录一条完整样例，字段口径对齐需求表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个字段；红框原文全部译为中文。</t>
    </r>
  </si>
  <si>
    <t xml:space="preserve">重要限制</t>
  </si>
  <si>
    <t xml:space="preserve">样例金额随收货地址、账号、优惠、时间变化。本表数值仅用于字段与翻译口径验证，不能当作当前线上报价。</t>
  </si>
  <si>
    <r>
      <rPr>
        <b val="true"/>
        <sz val="12"/>
        <color rgb="FF1F4E79"/>
        <rFont val="Noto Sans CJK SC"/>
        <family val="2"/>
      </rPr>
      <t xml:space="preserve">二、巴西 </t>
    </r>
    <r>
      <rPr>
        <b val="true"/>
        <sz val="12"/>
        <color rgb="FF1F4E79"/>
        <rFont val="Arial"/>
        <family val="0"/>
        <charset val="1"/>
      </rPr>
      <t xml:space="preserve">Keeta App </t>
    </r>
    <r>
      <rPr>
        <b val="true"/>
        <sz val="12"/>
        <color rgb="FF1F4E79"/>
        <rFont val="Noto Sans CJK SC"/>
        <family val="2"/>
      </rPr>
      <t xml:space="preserve">基础信息</t>
    </r>
  </si>
  <si>
    <t xml:space="preserve">项目</t>
  </si>
  <si>
    <t xml:space="preserve">内容</t>
  </si>
  <si>
    <r>
      <rPr>
        <b val="true"/>
        <sz val="10"/>
        <color rgb="FFFFFFFF"/>
        <rFont val="Noto Sans CJK SC"/>
        <family val="2"/>
      </rPr>
      <t xml:space="preserve">来源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备注</t>
    </r>
  </si>
  <si>
    <t xml:space="preserve">应用名称</t>
  </si>
  <si>
    <r>
      <rPr>
        <sz val="10"/>
        <rFont val="Arial"/>
        <family val="0"/>
        <charset val="1"/>
      </rPr>
      <t xml:space="preserve">Keeta - Food Delivery</t>
    </r>
    <r>
      <rPr>
        <sz val="10"/>
        <rFont val="Noto Sans CJK SC"/>
        <family val="2"/>
      </rPr>
      <t xml:space="preserve">（葡语区显示 </t>
    </r>
    <r>
      <rPr>
        <sz val="10"/>
        <rFont val="Arial"/>
        <family val="0"/>
        <charset val="1"/>
      </rPr>
      <t xml:space="preserve">Keeta - Delivery de comida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</si>
  <si>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Play / App Store </t>
    </r>
    <r>
      <rPr>
        <sz val="9"/>
        <color rgb="FF595959"/>
        <rFont val="Noto Sans CJK SC"/>
        <family val="2"/>
      </rPr>
      <t xml:space="preserve">巴西区</t>
    </r>
  </si>
  <si>
    <r>
      <rPr>
        <sz val="10"/>
        <rFont val="Arial"/>
        <family val="0"/>
        <charset val="1"/>
      </rPr>
      <t xml:space="preserve">Android </t>
    </r>
    <r>
      <rPr>
        <sz val="10"/>
        <rFont val="Noto Sans CJK SC"/>
        <family val="2"/>
      </rPr>
      <t xml:space="preserve">包名</t>
    </r>
  </si>
  <si>
    <t xml:space="preserve">com.sankuai.sailor.afooddelivery</t>
  </si>
  <si>
    <r>
      <rPr>
        <sz val="9"/>
        <color rgb="FF595959"/>
        <rFont val="Arial"/>
        <family val="0"/>
        <charset val="1"/>
      </rPr>
      <t xml:space="preserve">Google Play </t>
    </r>
    <r>
      <rPr>
        <sz val="9"/>
        <color rgb="FF595959"/>
        <rFont val="Noto Sans CJK SC"/>
        <family val="2"/>
      </rPr>
      <t xml:space="preserve">商店页</t>
    </r>
  </si>
  <si>
    <t xml:space="preserve">开发者</t>
  </si>
  <si>
    <r>
      <rPr>
        <sz val="10"/>
        <rFont val="Arial"/>
        <family val="0"/>
        <charset val="1"/>
      </rPr>
      <t xml:space="preserve">KANGAROO LIMITED</t>
    </r>
    <r>
      <rPr>
        <sz val="10"/>
        <rFont val="Noto Sans CJK SC"/>
        <family val="2"/>
      </rPr>
      <t xml:space="preserve">（美团关联主体）</t>
    </r>
  </si>
  <si>
    <t xml:space="preserve">参考版本</t>
  </si>
  <si>
    <r>
      <rPr>
        <sz val="10"/>
        <rFont val="Arial"/>
        <family val="0"/>
        <charset val="1"/>
      </rPr>
      <t xml:space="preserve">3.12.501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 </t>
    </r>
    <r>
      <rPr>
        <sz val="10"/>
        <rFont val="Noto Sans CJK SC"/>
        <family val="2"/>
      </rPr>
      <t xml:space="preserve">查询到的版本，实际以商店为准）</t>
    </r>
  </si>
  <si>
    <r>
      <rPr>
        <sz val="9"/>
        <color rgb="FF595959"/>
        <rFont val="Arial"/>
        <family val="0"/>
        <charset val="1"/>
      </rPr>
      <t xml:space="preserve">APKMirror </t>
    </r>
    <r>
      <rPr>
        <sz val="9"/>
        <color rgb="FF595959"/>
        <rFont val="Noto Sans CJK SC"/>
        <family val="2"/>
      </rPr>
      <t xml:space="preserve">版本页</t>
    </r>
  </si>
  <si>
    <r>
      <rPr>
        <sz val="10"/>
        <rFont val="Arial"/>
        <family val="0"/>
        <charset val="1"/>
      </rPr>
      <t xml:space="preserve">Android </t>
    </r>
    <r>
      <rPr>
        <sz val="10"/>
        <rFont val="Noto Sans CJK SC"/>
        <family val="2"/>
      </rPr>
      <t xml:space="preserve">入口</t>
    </r>
  </si>
  <si>
    <t xml:space="preserve">https://play.google.com/store/apps/details?hl=pt-BR&amp;id=com.sankuai.sailor.afooddelivery</t>
  </si>
  <si>
    <t xml:space="preserve">已验证链接</t>
  </si>
  <si>
    <r>
      <rPr>
        <sz val="10"/>
        <rFont val="Arial"/>
        <family val="0"/>
        <charset val="1"/>
      </rPr>
      <t xml:space="preserve">iOS </t>
    </r>
    <r>
      <rPr>
        <sz val="10"/>
        <rFont val="Noto Sans CJK SC"/>
        <family val="2"/>
      </rPr>
      <t xml:space="preserve">入口</t>
    </r>
  </si>
  <si>
    <t xml:space="preserve">https://apps.apple.com/br/app/keeta-delivery-de-comida/id1662451643</t>
  </si>
  <si>
    <t xml:space="preserve">业务城市</t>
  </si>
  <si>
    <r>
      <rPr>
        <sz val="10"/>
        <rFont val="Noto Sans CJK SC"/>
        <family val="2"/>
      </rPr>
      <t xml:space="preserve">圣保罗（</t>
    </r>
    <r>
      <rPr>
        <sz val="10"/>
        <rFont val="Arial"/>
        <family val="0"/>
        <charset val="1"/>
      </rPr>
      <t xml:space="preserve">São Paulo</t>
    </r>
    <r>
      <rPr>
        <sz val="10"/>
        <rFont val="Noto Sans CJK SC"/>
        <family val="2"/>
      </rPr>
      <t xml:space="preserve">）及大圣保罗；试点含桑托斯、圣维森特</t>
    </r>
  </si>
  <si>
    <r>
      <rPr>
        <sz val="9"/>
        <color rgb="FF595959"/>
        <rFont val="Noto Sans CJK SC"/>
        <family val="2"/>
      </rPr>
      <t xml:space="preserve">需求表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公开报道</t>
    </r>
  </si>
  <si>
    <t xml:space="preserve">用户提供分享链接</t>
  </si>
  <si>
    <t xml:space="preserve">https://m.keeta-global.com/marketing/applaunch/index.html?...&amp;shopId=159559935&amp;region=BR</t>
  </si>
  <si>
    <r>
      <rPr>
        <sz val="9"/>
        <color rgb="FF595959"/>
        <rFont val="Noto Sans CJK SC"/>
        <family val="2"/>
      </rPr>
      <t xml:space="preserve">仅 </t>
    </r>
    <r>
      <rPr>
        <sz val="9"/>
        <color rgb="FF595959"/>
        <rFont val="Arial"/>
        <family val="0"/>
        <charset val="1"/>
      </rPr>
      <t xml:space="preserve">App </t>
    </r>
    <r>
      <rPr>
        <sz val="9"/>
        <color rgb="FF595959"/>
        <rFont val="Noto Sans CJK SC"/>
        <family val="2"/>
      </rPr>
      <t xml:space="preserve">唤起页；本环境无法打开，且未核实是否与截图同一店铺</t>
    </r>
  </si>
  <si>
    <t xml:space="preserve">三、样例采集口径</t>
  </si>
  <si>
    <r>
      <rPr>
        <b val="true"/>
        <sz val="10"/>
        <rFont val="Noto Sans CJK SC"/>
        <family val="2"/>
      </rPr>
      <t xml:space="preserve">国家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城市</t>
    </r>
  </si>
  <si>
    <r>
      <rPr>
        <sz val="10"/>
        <rFont val="Noto Sans CJK SC"/>
        <family val="2"/>
      </rPr>
      <t xml:space="preserve">巴西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圣保罗（</t>
    </r>
    <r>
      <rPr>
        <sz val="10"/>
        <rFont val="Arial"/>
        <family val="0"/>
        <charset val="1"/>
      </rPr>
      <t xml:space="preserve">São Paulo</t>
    </r>
    <r>
      <rPr>
        <sz val="10"/>
        <rFont val="Noto Sans CJK SC"/>
        <family val="2"/>
      </rPr>
      <t xml:space="preserve">）</t>
    </r>
  </si>
  <si>
    <t xml:space="preserve">配送地址</t>
  </si>
  <si>
    <r>
      <rPr>
        <sz val="10"/>
        <rFont val="Arial"/>
        <family val="0"/>
        <charset val="1"/>
      </rPr>
      <t xml:space="preserve">Rua Marcílio de Sá, 231 - Jardim das Vertentes, São Paulo - SP</t>
    </r>
    <r>
      <rPr>
        <sz val="10"/>
        <rFont val="Noto Sans CJK SC"/>
        <family val="2"/>
      </rPr>
      <t xml:space="preserve">（圣保罗州圣保罗市雅尔丁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达斯韦尔滕特斯区马尔西利奥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萨街 </t>
    </r>
    <r>
      <rPr>
        <sz val="10"/>
        <rFont val="Arial"/>
        <family val="0"/>
        <charset val="1"/>
      </rPr>
      <t xml:space="preserve">231 </t>
    </r>
    <r>
      <rPr>
        <sz val="10"/>
        <rFont val="Noto Sans CJK SC"/>
        <family val="2"/>
      </rPr>
      <t xml:space="preserve">号）</t>
    </r>
  </si>
  <si>
    <t xml:space="preserve">店铺</t>
  </si>
  <si>
    <r>
      <rPr>
        <sz val="10"/>
        <rFont val="Arial"/>
        <family val="0"/>
        <charset val="1"/>
      </rPr>
      <t xml:space="preserve">Açaí tapioca WRK</t>
    </r>
    <r>
      <rPr>
        <sz val="10"/>
        <rFont val="Noto Sans CJK SC"/>
        <family val="2"/>
      </rPr>
      <t xml:space="preserve">（巴西莓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木薯饼 </t>
    </r>
    <r>
      <rPr>
        <sz val="10"/>
        <rFont val="Arial"/>
        <family val="0"/>
        <charset val="1"/>
      </rPr>
      <t xml:space="preserve">WRK</t>
    </r>
    <r>
      <rPr>
        <sz val="10"/>
        <rFont val="Noto Sans CJK SC"/>
        <family val="2"/>
      </rPr>
      <t xml:space="preserve">，品牌名保留原文）</t>
    </r>
  </si>
  <si>
    <t xml:space="preserve">商品</t>
  </si>
  <si>
    <r>
      <rPr>
        <sz val="10"/>
        <rFont val="Arial"/>
        <family val="0"/>
        <charset val="1"/>
      </rPr>
      <t xml:space="preserve">3 × Tapioca Com Nutella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 </t>
    </r>
    <r>
      <rPr>
        <sz val="10"/>
        <rFont val="Arial"/>
        <family val="0"/>
        <charset val="1"/>
      </rPr>
      <t xml:space="preserve">Nutella </t>
    </r>
    <r>
      <rPr>
        <sz val="10"/>
        <rFont val="Noto Sans CJK SC"/>
        <family val="2"/>
      </rPr>
      <t xml:space="preserve">榛子可可酱木薯饼）</t>
    </r>
  </si>
  <si>
    <t xml:space="preserve">页面</t>
  </si>
  <si>
    <r>
      <rPr>
        <sz val="10"/>
        <rFont val="Arial"/>
        <family val="0"/>
        <charset val="1"/>
      </rPr>
      <t xml:space="preserve">Pedir agora</t>
    </r>
    <r>
      <rPr>
        <sz val="10"/>
        <rFont val="Noto Sans CJK SC"/>
        <family val="2"/>
      </rPr>
      <t xml:space="preserve">（立即下单）→ 结算页，含 </t>
    </r>
    <r>
      <rPr>
        <sz val="10"/>
        <rFont val="Arial"/>
        <family val="0"/>
        <charset val="1"/>
      </rPr>
      <t xml:space="preserve">Resumo do pedido</t>
    </r>
    <r>
      <rPr>
        <sz val="10"/>
        <rFont val="Noto Sans CJK SC"/>
        <family val="2"/>
      </rPr>
      <t xml:space="preserve">（订单摘要）与 </t>
    </r>
    <r>
      <rPr>
        <sz val="10"/>
        <rFont val="Arial"/>
        <family val="0"/>
        <charset val="1"/>
      </rPr>
      <t xml:space="preserve">Total do pedido</t>
    </r>
    <r>
      <rPr>
        <sz val="10"/>
        <rFont val="Noto Sans CJK SC"/>
        <family val="2"/>
      </rPr>
      <t xml:space="preserve">（订单总额）</t>
    </r>
  </si>
  <si>
    <r>
      <rPr>
        <b val="true"/>
        <sz val="10"/>
        <rFont val="Noto Sans CJK SC"/>
        <family val="2"/>
      </rPr>
      <t xml:space="preserve">币种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单位</t>
    </r>
  </si>
  <si>
    <r>
      <rPr>
        <sz val="10"/>
        <rFont val="Noto Sans CJK SC"/>
        <family val="2"/>
      </rPr>
      <t xml:space="preserve">巴西雷亚尔 </t>
    </r>
    <r>
      <rPr>
        <sz val="10"/>
        <rFont val="Arial"/>
        <family val="0"/>
        <charset val="1"/>
      </rPr>
      <t xml:space="preserve">BRL</t>
    </r>
    <r>
      <rPr>
        <sz val="10"/>
        <rFont val="Noto Sans CJK SC"/>
        <family val="2"/>
      </rPr>
      <t xml:space="preserve">；金额字段按需求表存“分”（</t>
    </r>
    <r>
      <rPr>
        <sz val="10"/>
        <rFont val="Arial"/>
        <family val="0"/>
        <charset val="1"/>
      </rPr>
      <t xml:space="preserve">centavos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45.00 = 4500 </t>
    </r>
    <r>
      <rPr>
        <sz val="10"/>
        <rFont val="Noto Sans CJK SC"/>
        <family val="2"/>
      </rPr>
      <t xml:space="preserve">分</t>
    </r>
  </si>
  <si>
    <t xml:space="preserve">四、金额核算（与截图一致）</t>
  </si>
  <si>
    <t xml:space="preserve">商品行金额</t>
  </si>
  <si>
    <r>
      <rPr>
        <sz val="10"/>
        <rFont val="Arial"/>
        <family val="0"/>
        <charset val="1"/>
      </rPr>
      <t xml:space="preserve">R$ 45.00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份合计；单价 </t>
    </r>
    <r>
      <rPr>
        <sz val="10"/>
        <rFont val="Arial"/>
        <family val="0"/>
        <charset val="1"/>
      </rPr>
      <t xml:space="preserve">R$ 15.00</t>
    </r>
    <r>
      <rPr>
        <sz val="10"/>
        <rFont val="Noto Sans CJK SC"/>
        <family val="2"/>
      </rPr>
      <t xml:space="preserve">，由 </t>
    </r>
    <r>
      <rPr>
        <sz val="10"/>
        <rFont val="Arial"/>
        <family val="0"/>
        <charset val="1"/>
      </rPr>
      <t xml:space="preserve">45.00 ÷ 3 </t>
    </r>
    <r>
      <rPr>
        <sz val="10"/>
        <rFont val="Noto Sans CJK SC"/>
        <family val="2"/>
      </rPr>
      <t xml:space="preserve">推算）</t>
    </r>
  </si>
  <si>
    <t xml:space="preserve">配送费</t>
  </si>
  <si>
    <r>
      <rPr>
        <sz val="10"/>
        <rFont val="Noto Sans CJK SC"/>
        <family val="2"/>
      </rPr>
      <t xml:space="preserve">原价 </t>
    </r>
    <r>
      <rPr>
        <sz val="10"/>
        <rFont val="Arial"/>
        <family val="0"/>
        <charset val="1"/>
      </rPr>
      <t xml:space="preserve">R$ 12.99 → </t>
    </r>
    <r>
      <rPr>
        <sz val="10"/>
        <rFont val="Noto Sans CJK SC"/>
        <family val="2"/>
      </rPr>
      <t xml:space="preserve">优惠价 </t>
    </r>
    <r>
      <rPr>
        <sz val="10"/>
        <rFont val="Arial"/>
        <family val="0"/>
        <charset val="1"/>
      </rPr>
      <t xml:space="preserve">R$ 2.99</t>
    </r>
    <r>
      <rPr>
        <sz val="10"/>
        <rFont val="Noto Sans CJK SC"/>
        <family val="2"/>
      </rPr>
      <t xml:space="preserve">，优惠 </t>
    </r>
    <r>
      <rPr>
        <sz val="10"/>
        <rFont val="Arial"/>
        <family val="0"/>
        <charset val="1"/>
      </rPr>
      <t xml:space="preserve">R$ 10.00</t>
    </r>
  </si>
  <si>
    <t xml:space="preserve">服务费</t>
  </si>
  <si>
    <r>
      <rPr>
        <sz val="10"/>
        <rFont val="Arial"/>
        <family val="0"/>
        <charset val="1"/>
      </rPr>
      <t xml:space="preserve">R$ 0.99</t>
    </r>
    <r>
      <rPr>
        <sz val="10"/>
        <rFont val="Noto Sans CJK SC"/>
        <family val="2"/>
      </rPr>
      <t xml:space="preserve">（页面只显示一个价格，没有原价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折后价区分）</t>
    </r>
  </si>
  <si>
    <t xml:space="preserve">订单总额</t>
  </si>
  <si>
    <r>
      <rPr>
        <sz val="10"/>
        <rFont val="Arial"/>
        <family val="0"/>
        <charset val="1"/>
      </rPr>
      <t xml:space="preserve">45.00 + 2.99 + 0.99 = R$ 48.98</t>
    </r>
    <r>
      <rPr>
        <sz val="10"/>
        <rFont val="Noto Sans CJK SC"/>
        <family val="2"/>
      </rPr>
      <t xml:space="preserve">（页面 </t>
    </r>
    <r>
      <rPr>
        <sz val="10"/>
        <rFont val="Arial"/>
        <family val="0"/>
        <charset val="1"/>
      </rPr>
      <t xml:space="preserve">Total</t>
    </r>
    <r>
      <rPr>
        <sz val="10"/>
        <rFont val="Noto Sans CJK SC"/>
        <family val="2"/>
      </rPr>
      <t xml:space="preserve">）</t>
    </r>
  </si>
  <si>
    <t xml:space="preserve">原价总额</t>
  </si>
  <si>
    <r>
      <rPr>
        <sz val="10"/>
        <rFont val="Arial"/>
        <family val="0"/>
        <charset val="1"/>
      </rPr>
      <t xml:space="preserve">45.00 + 12.99 + 0.99 = R$ 58.98</t>
    </r>
    <r>
      <rPr>
        <sz val="10"/>
        <rFont val="Noto Sans CJK SC"/>
        <family val="2"/>
      </rPr>
      <t xml:space="preserve">（页面未显示，由分项推算）</t>
    </r>
  </si>
  <si>
    <t xml:space="preserve">优惠合计</t>
  </si>
  <si>
    <r>
      <rPr>
        <sz val="10"/>
        <rFont val="Arial"/>
        <family val="0"/>
        <charset val="1"/>
      </rPr>
      <t xml:space="preserve">12.99 − 2.99 = R$ 10.00</t>
    </r>
    <r>
      <rPr>
        <sz val="10"/>
        <rFont val="Noto Sans CJK SC"/>
        <family val="2"/>
      </rPr>
      <t xml:space="preserve">，与页面“</t>
    </r>
    <r>
      <rPr>
        <sz val="10"/>
        <rFont val="Arial"/>
        <family val="0"/>
        <charset val="1"/>
      </rPr>
      <t xml:space="preserve">Desconto de R$ 10,00 aplicado”</t>
    </r>
    <r>
      <rPr>
        <sz val="10"/>
        <rFont val="Noto Sans CJK SC"/>
        <family val="2"/>
      </rPr>
      <t xml:space="preserve">一致；不得再从 </t>
    </r>
    <r>
      <rPr>
        <sz val="10"/>
        <rFont val="Arial"/>
        <family val="0"/>
        <charset val="1"/>
      </rPr>
      <t xml:space="preserve">48.98 </t>
    </r>
    <r>
      <rPr>
        <sz val="10"/>
        <rFont val="Noto Sans CJK SC"/>
        <family val="2"/>
      </rPr>
      <t xml:space="preserve">重复扣减</t>
    </r>
  </si>
  <si>
    <t xml:space="preserve">其他优惠</t>
  </si>
  <si>
    <r>
      <rPr>
        <sz val="10"/>
        <rFont val="Noto Sans CJK SC"/>
        <family val="2"/>
      </rPr>
      <t xml:space="preserve">页面显示 </t>
    </r>
    <r>
      <rPr>
        <sz val="10"/>
        <rFont val="Arial"/>
        <family val="0"/>
        <charset val="1"/>
      </rPr>
      <t xml:space="preserve">Cupom 1 disponível – até R$ 15.75 OFF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Ganhe 35% de desconto</t>
    </r>
    <r>
      <rPr>
        <sz val="10"/>
        <rFont val="Noto Sans CJK SC"/>
        <family val="2"/>
      </rPr>
      <t xml:space="preserve">，但未在本单生效</t>
    </r>
  </si>
  <si>
    <t xml:space="preserve">五、已知缺口（截图中没有，未编造）</t>
  </si>
  <si>
    <t xml:space="preserve">账号维度</t>
  </si>
  <si>
    <r>
      <rPr>
        <sz val="10"/>
        <rFont val="Arial"/>
        <family val="0"/>
        <charset val="1"/>
      </rPr>
      <t xml:space="preserve">account_id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user_completed_orders_count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account_type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is_member </t>
    </r>
    <r>
      <rPr>
        <sz val="10"/>
        <rFont val="Noto Sans CJK SC"/>
        <family val="2"/>
      </rPr>
      <t xml:space="preserve">均未显示，需登录账号后从个人中心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订单页取得。</t>
    </r>
  </si>
  <si>
    <t xml:space="preserve">经纬度</t>
  </si>
  <si>
    <r>
      <rPr>
        <sz val="10"/>
        <rFont val="Arial"/>
        <family val="0"/>
        <charset val="1"/>
      </rPr>
      <t xml:space="preserve">crawl_lat/lng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shop_lat/lng </t>
    </r>
    <r>
      <rPr>
        <sz val="10"/>
        <rFont val="Noto Sans CJK SC"/>
        <family val="2"/>
      </rPr>
      <t xml:space="preserve">未显示，截图只有地址文本；需地图地理编码或 </t>
    </r>
    <r>
      <rPr>
        <sz val="10"/>
        <rFont val="Arial"/>
        <family val="0"/>
        <charset val="1"/>
      </rPr>
      <t xml:space="preserve">App </t>
    </r>
    <r>
      <rPr>
        <sz val="10"/>
        <rFont val="Noto Sans CJK SC"/>
        <family val="2"/>
      </rPr>
      <t xml:space="preserve">定位接口。</t>
    </r>
  </si>
  <si>
    <t xml:space="preserve">距离</t>
  </si>
  <si>
    <r>
      <rPr>
        <sz val="10"/>
        <rFont val="Arial"/>
        <family val="0"/>
        <charset val="1"/>
      </rPr>
      <t xml:space="preserve">distance </t>
    </r>
    <r>
      <rPr>
        <sz val="10"/>
        <rFont val="Noto Sans CJK SC"/>
        <family val="2"/>
      </rPr>
      <t xml:space="preserve">未显示；结算页不展示配送距离。</t>
    </r>
  </si>
  <si>
    <t xml:space="preserve">采集时刻</t>
  </si>
  <si>
    <r>
      <rPr>
        <sz val="10"/>
        <rFont val="Noto Sans CJK SC"/>
        <family val="2"/>
      </rPr>
      <t xml:space="preserve">右机状态栏显示 </t>
    </r>
    <r>
      <rPr>
        <sz val="10"/>
        <rFont val="Arial"/>
        <family val="0"/>
        <charset val="1"/>
      </rPr>
      <t xml:space="preserve">06:15</t>
    </r>
    <r>
      <rPr>
        <sz val="10"/>
        <rFont val="Noto Sans CJK SC"/>
        <family val="2"/>
      </rPr>
      <t xml:space="preserve">，但截图没有日期；</t>
    </r>
    <r>
      <rPr>
        <sz val="10"/>
        <rFont val="Arial"/>
        <family val="0"/>
        <charset val="1"/>
      </rPr>
      <t xml:space="preserve">crawl_time </t>
    </r>
    <r>
      <rPr>
        <sz val="10"/>
        <rFont val="Noto Sans CJK SC"/>
        <family val="2"/>
      </rPr>
      <t xml:space="preserve">不能据此写成精确时间戳。</t>
    </r>
  </si>
  <si>
    <r>
      <rPr>
        <b val="true"/>
        <sz val="10"/>
        <rFont val="Noto Sans CJK SC"/>
        <family val="2"/>
      </rPr>
      <t xml:space="preserve">店铺 </t>
    </r>
    <r>
      <rPr>
        <b val="true"/>
        <sz val="10"/>
        <rFont val="Arial"/>
        <family val="0"/>
        <charset val="1"/>
      </rPr>
      <t xml:space="preserve">ID</t>
    </r>
  </si>
  <si>
    <r>
      <rPr>
        <sz val="10"/>
        <rFont val="Arial"/>
        <family val="0"/>
        <charset val="1"/>
      </rPr>
      <t xml:space="preserve">shop_id </t>
    </r>
    <r>
      <rPr>
        <sz val="10"/>
        <rFont val="Noto Sans CJK SC"/>
        <family val="2"/>
      </rPr>
      <t xml:space="preserve">未显示。你提供的分享链接 </t>
    </r>
    <r>
      <rPr>
        <sz val="10"/>
        <rFont val="Arial"/>
        <family val="0"/>
        <charset val="1"/>
      </rPr>
      <t xml:space="preserve">shopId=159559935</t>
    </r>
    <r>
      <rPr>
        <sz val="10"/>
        <rFont val="Noto Sans CJK SC"/>
        <family val="2"/>
      </rPr>
      <t xml:space="preserve">，但无法确认与截图店铺为同一家，未强行填入。</t>
    </r>
  </si>
  <si>
    <t xml:space="preserve">店铺地址</t>
  </si>
  <si>
    <r>
      <rPr>
        <sz val="10"/>
        <rFont val="Arial"/>
        <family val="0"/>
        <charset val="1"/>
      </rPr>
      <t xml:space="preserve">shop_address </t>
    </r>
    <r>
      <rPr>
        <sz val="10"/>
        <rFont val="Noto Sans CJK SC"/>
        <family val="2"/>
      </rPr>
      <t xml:space="preserve">未显示；结算页只展示收货地址。</t>
    </r>
  </si>
  <si>
    <r>
      <rPr>
        <b val="true"/>
        <sz val="10"/>
        <rFont val="Arial"/>
        <family val="0"/>
        <charset val="1"/>
      </rPr>
      <t xml:space="preserve">ETA </t>
    </r>
    <r>
      <rPr>
        <b val="true"/>
        <sz val="10"/>
        <rFont val="Noto Sans CJK SC"/>
        <family val="2"/>
      </rPr>
      <t xml:space="preserve">口径</t>
    </r>
  </si>
  <si>
    <r>
      <rPr>
        <sz val="10"/>
        <rFont val="Arial"/>
        <family val="0"/>
        <charset val="1"/>
      </rPr>
      <t xml:space="preserve">07:12–07:27 </t>
    </r>
    <r>
      <rPr>
        <sz val="10"/>
        <rFont val="Noto Sans CJK SC"/>
        <family val="2"/>
      </rPr>
      <t xml:space="preserve">是“预计送达时刻区间”，不是配送时长（分钟）；需求表 </t>
    </r>
    <r>
      <rPr>
        <sz val="10"/>
        <rFont val="Arial"/>
        <family val="0"/>
        <charset val="1"/>
      </rPr>
      <t xml:space="preserve">ceta_min/ceta_max </t>
    </r>
    <r>
      <rPr>
        <sz val="10"/>
        <rFont val="Noto Sans CJK SC"/>
        <family val="2"/>
      </rPr>
      <t xml:space="preserve">若要时长，需同时记录采集时刻和时区再换算。</t>
    </r>
  </si>
  <si>
    <t xml:space="preserve">优惠后商品价</t>
  </si>
  <si>
    <r>
      <rPr>
        <sz val="10"/>
        <rFont val="Noto Sans CJK SC"/>
        <family val="2"/>
      </rPr>
      <t xml:space="preserve">页面没有商品级折后价，</t>
    </r>
    <r>
      <rPr>
        <sz val="10"/>
        <rFont val="Arial"/>
        <family val="0"/>
        <charset val="1"/>
      </rPr>
      <t xml:space="preserve">product_final </t>
    </r>
    <r>
      <rPr>
        <sz val="10"/>
        <rFont val="Noto Sans CJK SC"/>
        <family val="2"/>
      </rPr>
      <t xml:space="preserve">只能等于 </t>
    </r>
    <r>
      <rPr>
        <sz val="10"/>
        <rFont val="Arial"/>
        <family val="0"/>
        <charset val="1"/>
      </rPr>
      <t xml:space="preserve">product_original</t>
    </r>
    <r>
      <rPr>
        <sz val="10"/>
        <rFont val="Noto Sans CJK SC"/>
        <family val="2"/>
      </rPr>
      <t xml:space="preserve">（本单无商品折扣）。</t>
    </r>
  </si>
  <si>
    <t xml:space="preserve">六、下一步建议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</si>
  <si>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若要实时数据：在巴西网络环境用真实账号打开分享链接，确认游客是否可浏览；记录登录态、</t>
    </r>
    <r>
      <rPr>
        <sz val="10"/>
        <rFont val="Arial"/>
        <family val="0"/>
        <charset val="1"/>
      </rPr>
      <t xml:space="preserve">GPS </t>
    </r>
    <r>
      <rPr>
        <sz val="10"/>
        <rFont val="Noto Sans CJK SC"/>
        <family val="2"/>
      </rPr>
      <t xml:space="preserve">与地址。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</si>
  <si>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先跑通单店单账号一条链路（店铺页 → 加购 → 结算页），核对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个字段能否全部取到，再谈 </t>
    </r>
    <r>
      <rPr>
        <sz val="10"/>
        <rFont val="Arial"/>
        <family val="0"/>
        <charset val="1"/>
      </rPr>
      <t xml:space="preserve">15000 </t>
    </r>
    <r>
      <rPr>
        <sz val="10"/>
        <rFont val="Noto Sans CJK SC"/>
        <family val="2"/>
      </rPr>
      <t xml:space="preserve">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批。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</si>
  <si>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批量采集需要解决账号池、点位池（</t>
    </r>
    <r>
      <rPr>
        <sz val="10"/>
        <rFont val="Arial"/>
        <family val="0"/>
        <charset val="1"/>
      </rPr>
      <t xml:space="preserve">1–2/2–3/3–4/4–5/5–6km </t>
    </r>
    <r>
      <rPr>
        <sz val="10"/>
        <rFont val="Noto Sans CJK SC"/>
        <family val="2"/>
      </rPr>
      <t xml:space="preserve">各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个点）、频控与店铺营业状态回滚。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</si>
  <si>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金额字段统一存“分”，并同时保存采集时间、地址、账号类型与优惠信息，否则价格不可复现。</t>
    </r>
  </si>
  <si>
    <t xml:space="preserve">序号</t>
  </si>
  <si>
    <t xml:space="preserve">字段代码</t>
  </si>
  <si>
    <t xml:space="preserve">中文列名</t>
  </si>
  <si>
    <t xml:space="preserve">需求表描述</t>
  </si>
  <si>
    <t xml:space="preserve">本样例取值（中文）</t>
  </si>
  <si>
    <r>
      <rPr>
        <b val="true"/>
        <sz val="10"/>
        <color rgb="FFFFFFFF"/>
        <rFont val="Noto Sans CJK SC"/>
        <family val="2"/>
      </rPr>
      <t xml:space="preserve">页面原文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原始值</t>
    </r>
  </si>
  <si>
    <t xml:space="preserve">取值说明</t>
  </si>
  <si>
    <t xml:space="preserve">batch_no</t>
  </si>
  <si>
    <t xml:space="preserve">批次号</t>
  </si>
  <si>
    <r>
      <rPr>
        <sz val="10"/>
        <rFont val="Noto Sans CJK SC"/>
        <family val="2"/>
      </rPr>
      <t xml:space="preserve">本次，年月日命名，</t>
    </r>
    <r>
      <rPr>
        <sz val="10"/>
        <rFont val="Arial"/>
        <family val="0"/>
        <charset val="1"/>
      </rPr>
      <t xml:space="preserve">YYYYMMDD</t>
    </r>
  </si>
  <si>
    <t xml:space="preserve">20261020</t>
  </si>
  <si>
    <t xml:space="preserve">—</t>
  </si>
  <si>
    <t xml:space="preserve">按整理日期生成的样例批次号，非采集系统批次</t>
  </si>
  <si>
    <t xml:space="preserve">country</t>
  </si>
  <si>
    <t xml:space="preserve">国家</t>
  </si>
  <si>
    <r>
      <rPr>
        <sz val="10"/>
        <rFont val="Noto Sans CJK SC"/>
        <family val="2"/>
      </rPr>
      <t xml:space="preserve">巴西（</t>
    </r>
    <r>
      <rPr>
        <sz val="10"/>
        <rFont val="Arial"/>
        <family val="0"/>
        <charset val="1"/>
      </rPr>
      <t xml:space="preserve">BR</t>
    </r>
    <r>
      <rPr>
        <sz val="10"/>
        <rFont val="Noto Sans CJK SC"/>
        <family val="2"/>
      </rPr>
      <t xml:space="preserve">）</t>
    </r>
  </si>
  <si>
    <t xml:space="preserve">BR</t>
  </si>
  <si>
    <t xml:space="preserve">截图不显示国家，按业务口径填写</t>
  </si>
  <si>
    <t xml:space="preserve">platform</t>
  </si>
  <si>
    <t xml:space="preserve">平台</t>
  </si>
  <si>
    <t xml:space="preserve">Keeta</t>
  </si>
  <si>
    <r>
      <rPr>
        <sz val="10"/>
        <rFont val="Arial"/>
        <family val="0"/>
        <charset val="1"/>
      </rPr>
      <t xml:space="preserve">Android App</t>
    </r>
    <r>
      <rPr>
        <sz val="10"/>
        <rFont val="Noto Sans CJK SC"/>
        <family val="2"/>
      </rPr>
      <t xml:space="preserve">（截图含 </t>
    </r>
    <r>
      <rPr>
        <sz val="10"/>
        <rFont val="Arial"/>
        <family val="0"/>
        <charset val="1"/>
      </rPr>
      <t xml:space="preserve">Google Play </t>
    </r>
    <r>
      <rPr>
        <sz val="10"/>
        <rFont val="Noto Sans CJK SC"/>
        <family val="2"/>
      </rPr>
      <t xml:space="preserve">服务提示）</t>
    </r>
  </si>
  <si>
    <t xml:space="preserve">city_name</t>
  </si>
  <si>
    <t xml:space="preserve">城市名称</t>
  </si>
  <si>
    <t xml:space="preserve">圣保罗</t>
  </si>
  <si>
    <t xml:space="preserve">São Paulo</t>
  </si>
  <si>
    <t xml:space="preserve">取自配送地址</t>
  </si>
  <si>
    <t xml:space="preserve">crawl_time</t>
  </si>
  <si>
    <t xml:space="preserve">采集时间</t>
  </si>
  <si>
    <r>
      <rPr>
        <sz val="10"/>
        <rFont val="Noto Sans CJK SC"/>
        <family val="2"/>
      </rPr>
      <t xml:space="preserve">采集时间（</t>
    </r>
    <r>
      <rPr>
        <sz val="10"/>
        <rFont val="Arial"/>
        <family val="0"/>
        <charset val="1"/>
      </rPr>
      <t xml:space="preserve">local</t>
    </r>
    <r>
      <rPr>
        <sz val="10"/>
        <rFont val="Noto Sans CJK SC"/>
        <family val="2"/>
      </rPr>
      <t xml:space="preserve">时间），时间戳格式，需要精确到秒</t>
    </r>
  </si>
  <si>
    <r>
      <rPr>
        <sz val="10"/>
        <rFont val="Arial"/>
        <family val="0"/>
        <charset val="1"/>
      </rPr>
      <t xml:space="preserve">06:15</t>
    </r>
    <r>
      <rPr>
        <sz val="10"/>
        <rFont val="Noto Sans CJK SC"/>
        <family val="2"/>
      </rPr>
      <t xml:space="preserve">（日期未显示）</t>
    </r>
  </si>
  <si>
    <t xml:space="preserve">06:15</t>
  </si>
  <si>
    <t xml:space="preserve">右机状态栏时间；不能当作精确采集时间戳</t>
  </si>
  <si>
    <t xml:space="preserve">account_id</t>
  </si>
  <si>
    <r>
      <rPr>
        <sz val="10"/>
        <rFont val="Noto Sans CJK SC"/>
        <family val="2"/>
      </rPr>
      <t xml:space="preserve">用户</t>
    </r>
    <r>
      <rPr>
        <sz val="10"/>
        <rFont val="Arial"/>
        <family val="0"/>
        <charset val="1"/>
      </rPr>
      <t xml:space="preserve">ID</t>
    </r>
  </si>
  <si>
    <t xml:space="preserve">未显示</t>
  </si>
  <si>
    <r>
      <rPr>
        <sz val="10"/>
        <rFont val="Noto Sans CJK SC"/>
        <family val="2"/>
      </rPr>
      <t xml:space="preserve">结算页不展示账号 </t>
    </r>
    <r>
      <rPr>
        <sz val="10"/>
        <rFont val="Arial"/>
        <family val="0"/>
        <charset val="1"/>
      </rPr>
      <t xml:space="preserve">ID</t>
    </r>
  </si>
  <si>
    <t xml:space="preserve">user_completed_orders_count</t>
  </si>
  <si>
    <t xml:space="preserve">历史完成订单数</t>
  </si>
  <si>
    <t xml:space="preserve">该用户历史累计完成单数</t>
  </si>
  <si>
    <t xml:space="preserve">需登录账号后从个人中心取得</t>
  </si>
  <si>
    <t xml:space="preserve">account_type</t>
  </si>
  <si>
    <t xml:space="preserve">账号类型</t>
  </si>
  <si>
    <r>
      <rPr>
        <sz val="10"/>
        <rFont val="Noto Sans CJK SC"/>
        <family val="2"/>
      </rPr>
      <t xml:space="preserve">账号类型：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新客、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中客、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老客</t>
    </r>
  </si>
  <si>
    <t xml:space="preserve">需账号维度数据</t>
  </si>
  <si>
    <t xml:space="preserve">is_member</t>
  </si>
  <si>
    <t xml:space="preserve">是否会员</t>
  </si>
  <si>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会员，</t>
    </r>
    <r>
      <rPr>
        <sz val="10"/>
        <rFont val="Arial"/>
        <family val="0"/>
        <charset val="1"/>
      </rPr>
      <t xml:space="preserve">0=</t>
    </r>
    <r>
      <rPr>
        <sz val="10"/>
        <rFont val="Noto Sans CJK SC"/>
        <family val="2"/>
      </rPr>
      <t xml:space="preserve">非会员</t>
    </r>
  </si>
  <si>
    <t xml:space="preserve">页面无会员标识</t>
  </si>
  <si>
    <t xml:space="preserve">shop_id</t>
  </si>
  <si>
    <r>
      <rPr>
        <sz val="10"/>
        <rFont val="Noto Sans CJK SC"/>
        <family val="2"/>
      </rPr>
      <t xml:space="preserve">店铺</t>
    </r>
    <r>
      <rPr>
        <sz val="10"/>
        <rFont val="Arial"/>
        <family val="0"/>
        <charset val="1"/>
      </rPr>
      <t xml:space="preserve">ID</t>
    </r>
  </si>
  <si>
    <r>
      <rPr>
        <sz val="10"/>
        <rFont val="Noto Sans CJK SC"/>
        <family val="2"/>
      </rPr>
      <t xml:space="preserve">分享链接 </t>
    </r>
    <r>
      <rPr>
        <sz val="10"/>
        <rFont val="Arial"/>
        <family val="0"/>
        <charset val="1"/>
      </rPr>
      <t xml:space="preserve">shopId=159559935 </t>
    </r>
    <r>
      <rPr>
        <sz val="10"/>
        <rFont val="Noto Sans CJK SC"/>
        <family val="2"/>
      </rPr>
      <t xml:space="preserve">未核实是否同一店，不填入</t>
    </r>
  </si>
  <si>
    <t xml:space="preserve">shop_name</t>
  </si>
  <si>
    <t xml:space="preserve">店铺名称</t>
  </si>
  <si>
    <r>
      <rPr>
        <sz val="10"/>
        <rFont val="Arial"/>
        <family val="0"/>
        <charset val="1"/>
      </rPr>
      <t xml:space="preserve">Açaí tapioca WRK</t>
    </r>
    <r>
      <rPr>
        <sz val="10"/>
        <rFont val="Noto Sans CJK SC"/>
        <family val="2"/>
      </rPr>
      <t xml:space="preserve">（巴西莓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木薯饼 </t>
    </r>
    <r>
      <rPr>
        <sz val="10"/>
        <rFont val="Arial"/>
        <family val="0"/>
        <charset val="1"/>
      </rPr>
      <t xml:space="preserve">WRK</t>
    </r>
    <r>
      <rPr>
        <sz val="10"/>
        <rFont val="Noto Sans CJK SC"/>
        <family val="2"/>
      </rPr>
      <t xml:space="preserve">）</t>
    </r>
  </si>
  <si>
    <t xml:space="preserve">Açaí tapioca WRK · 3 itens</t>
  </si>
  <si>
    <r>
      <rPr>
        <sz val="10"/>
        <rFont val="Noto Sans CJK SC"/>
        <family val="2"/>
      </rPr>
      <t xml:space="preserve">品牌名保留原文；</t>
    </r>
    <r>
      <rPr>
        <sz val="10"/>
        <rFont val="Arial"/>
        <family val="0"/>
        <charset val="1"/>
      </rPr>
      <t xml:space="preserve">3 itens=3 </t>
    </r>
    <r>
      <rPr>
        <sz val="10"/>
        <rFont val="Noto Sans CJK SC"/>
        <family val="2"/>
      </rPr>
      <t xml:space="preserve">件商品</t>
    </r>
  </si>
  <si>
    <t xml:space="preserve">crawl_lat</t>
  </si>
  <si>
    <t xml:space="preserve">采集点纬度</t>
  </si>
  <si>
    <t xml:space="preserve">截图只有地址文本</t>
  </si>
  <si>
    <t xml:space="preserve">crawl_lng</t>
  </si>
  <si>
    <t xml:space="preserve">采集点经度</t>
  </si>
  <si>
    <t xml:space="preserve">crawl_address</t>
  </si>
  <si>
    <t xml:space="preserve">采集点地址</t>
  </si>
  <si>
    <r>
      <rPr>
        <sz val="10"/>
        <rFont val="Noto Sans CJK SC"/>
        <family val="2"/>
      </rPr>
      <t xml:space="preserve">圣保罗州圣保罗市雅尔丁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达斯韦尔滕特斯区马尔西利奥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萨街 </t>
    </r>
    <r>
      <rPr>
        <sz val="10"/>
        <rFont val="Arial"/>
        <family val="0"/>
        <charset val="1"/>
      </rPr>
      <t xml:space="preserve">231 </t>
    </r>
    <r>
      <rPr>
        <sz val="10"/>
        <rFont val="Noto Sans CJK SC"/>
        <family val="2"/>
      </rPr>
      <t xml:space="preserve">号</t>
    </r>
  </si>
  <si>
    <t xml:space="preserve">Rua Marcílio de Sá, 231, Jardim das Vertentes, São Paulo - SP</t>
  </si>
  <si>
    <t xml:space="preserve">用户下单地址</t>
  </si>
  <si>
    <t xml:space="preserve">shop_lat</t>
  </si>
  <si>
    <t xml:space="preserve">店铺纬度</t>
  </si>
  <si>
    <t xml:space="preserve">结算页不展示店铺坐标</t>
  </si>
  <si>
    <t xml:space="preserve">shop_lng</t>
  </si>
  <si>
    <t xml:space="preserve">店铺经度</t>
  </si>
  <si>
    <t xml:space="preserve">shop_address</t>
  </si>
  <si>
    <t xml:space="preserve">结算页只展示收货地址</t>
  </si>
  <si>
    <t xml:space="preserve">ceta_min</t>
  </si>
  <si>
    <t xml:space="preserve">最小配送时长</t>
  </si>
  <si>
    <r>
      <rPr>
        <sz val="10"/>
        <rFont val="Arial"/>
        <family val="0"/>
        <charset val="1"/>
      </rPr>
      <t xml:space="preserve">07:12</t>
    </r>
    <r>
      <rPr>
        <sz val="10"/>
        <rFont val="Noto Sans CJK SC"/>
        <family val="2"/>
      </rPr>
      <t xml:space="preserve">（送达时刻，非时长）</t>
    </r>
  </si>
  <si>
    <t xml:space="preserve">Previsão 07:12</t>
  </si>
  <si>
    <r>
      <rPr>
        <sz val="10"/>
        <rFont val="Noto Sans CJK SC"/>
        <family val="2"/>
      </rPr>
      <t xml:space="preserve">左机 </t>
    </r>
    <r>
      <rPr>
        <sz val="10"/>
        <rFont val="Arial"/>
        <family val="0"/>
        <charset val="1"/>
      </rPr>
      <t xml:space="preserve">Previsão </t>
    </r>
    <r>
      <rPr>
        <sz val="10"/>
        <rFont val="Noto Sans CJK SC"/>
        <family val="2"/>
      </rPr>
      <t xml:space="preserve">左端；不能直接当分钟数</t>
    </r>
  </si>
  <si>
    <t xml:space="preserve">ceta_max</t>
  </si>
  <si>
    <t xml:space="preserve">最大配送时长</t>
  </si>
  <si>
    <r>
      <rPr>
        <sz val="10"/>
        <rFont val="Arial"/>
        <family val="0"/>
        <charset val="1"/>
      </rPr>
      <t xml:space="preserve">07:27</t>
    </r>
    <r>
      <rPr>
        <sz val="10"/>
        <rFont val="Noto Sans CJK SC"/>
        <family val="2"/>
      </rPr>
      <t xml:space="preserve">（送达时刻，非时长）</t>
    </r>
  </si>
  <si>
    <t xml:space="preserve">Previsão 07:27</t>
  </si>
  <si>
    <r>
      <rPr>
        <sz val="10"/>
        <rFont val="Noto Sans CJK SC"/>
        <family val="2"/>
      </rPr>
      <t xml:space="preserve">左机 </t>
    </r>
    <r>
      <rPr>
        <sz val="10"/>
        <rFont val="Arial"/>
        <family val="0"/>
        <charset val="1"/>
      </rPr>
      <t xml:space="preserve">Previsão </t>
    </r>
    <r>
      <rPr>
        <sz val="10"/>
        <rFont val="Noto Sans CJK SC"/>
        <family val="2"/>
      </rPr>
      <t xml:space="preserve">右端；不能直接当分钟数</t>
    </r>
  </si>
  <si>
    <t xml:space="preserve">product_info</t>
  </si>
  <si>
    <t xml:space="preserve">商品信息</t>
  </si>
  <si>
    <t xml:space="preserve">结算页商品展示信息</t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</si>
  <si>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 </t>
    </r>
    <r>
      <rPr>
        <sz val="10"/>
        <rFont val="Arial"/>
        <family val="0"/>
        <charset val="1"/>
      </rPr>
      <t xml:space="preserve">Nutella </t>
    </r>
    <r>
      <rPr>
        <sz val="10"/>
        <rFont val="Noto Sans CJK SC"/>
        <family val="2"/>
      </rPr>
      <t xml:space="preserve">榛子可可酱木薯饼</t>
    </r>
  </si>
  <si>
    <t xml:space="preserve">3 × Tapioca Com Nutella</t>
  </si>
  <si>
    <r>
      <rPr>
        <sz val="10"/>
        <rFont val="Noto Sans CJK SC"/>
        <family val="2"/>
      </rPr>
      <t xml:space="preserve">数量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，商品为木薯饼</t>
    </r>
  </si>
  <si>
    <t xml:space="preserve">product_original</t>
  </si>
  <si>
    <t xml:space="preserve">商品原价</t>
  </si>
  <si>
    <t xml:space="preserve">商品原价，仅保留数字，单位：分</t>
  </si>
  <si>
    <r>
      <rPr>
        <sz val="10"/>
        <rFont val="Arial"/>
        <family val="0"/>
        <charset val="1"/>
      </rPr>
      <t xml:space="preserve">4500 </t>
    </r>
    <r>
      <rPr>
        <sz val="10"/>
        <rFont val="Noto Sans CJK SC"/>
        <family val="2"/>
      </rPr>
      <t xml:space="preserve">分（</t>
    </r>
    <r>
      <rPr>
        <sz val="10"/>
        <rFont val="Arial"/>
        <family val="0"/>
        <charset val="1"/>
      </rPr>
      <t xml:space="preserve">R$ 45.00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份合计）</t>
    </r>
  </si>
  <si>
    <t xml:space="preserve">R$ 45,00</t>
  </si>
  <si>
    <r>
      <rPr>
        <sz val="10"/>
        <rFont val="Noto Sans CJK SC"/>
        <family val="2"/>
      </rPr>
      <t xml:space="preserve">红框值；单价 </t>
    </r>
    <r>
      <rPr>
        <sz val="10"/>
        <rFont val="Arial"/>
        <family val="0"/>
        <charset val="1"/>
      </rPr>
      <t xml:space="preserve">R$ 15.00 </t>
    </r>
    <r>
      <rPr>
        <sz val="10"/>
        <rFont val="Noto Sans CJK SC"/>
        <family val="2"/>
      </rPr>
      <t xml:space="preserve">为推算</t>
    </r>
  </si>
  <si>
    <t xml:space="preserve">product_final</t>
  </si>
  <si>
    <t xml:space="preserve">商品折后价</t>
  </si>
  <si>
    <t xml:space="preserve">商品折后价，仅保留数字，单位：分</t>
  </si>
  <si>
    <r>
      <rPr>
        <sz val="10"/>
        <rFont val="Arial"/>
        <family val="0"/>
        <charset val="1"/>
      </rPr>
      <t xml:space="preserve">4500 </t>
    </r>
    <r>
      <rPr>
        <sz val="10"/>
        <rFont val="Noto Sans CJK SC"/>
        <family val="2"/>
      </rPr>
      <t xml:space="preserve">分（</t>
    </r>
    <r>
      <rPr>
        <sz val="10"/>
        <rFont val="Arial"/>
        <family val="0"/>
        <charset val="1"/>
      </rPr>
      <t xml:space="preserve">R$ 45.00</t>
    </r>
    <r>
      <rPr>
        <sz val="10"/>
        <rFont val="Noto Sans CJK SC"/>
        <family val="2"/>
      </rPr>
      <t xml:space="preserve">）</t>
    </r>
  </si>
  <si>
    <t xml:space="preserve">本单无商品级折扣</t>
  </si>
  <si>
    <t xml:space="preserve">delivery_original</t>
  </si>
  <si>
    <t xml:space="preserve">配送费原价</t>
  </si>
  <si>
    <t xml:space="preserve">配送费原价，仅保留数字，单位：分</t>
  </si>
  <si>
    <r>
      <rPr>
        <sz val="10"/>
        <rFont val="Arial"/>
        <family val="0"/>
        <charset val="1"/>
      </rPr>
      <t xml:space="preserve">1299 </t>
    </r>
    <r>
      <rPr>
        <sz val="10"/>
        <rFont val="Noto Sans CJK SC"/>
        <family val="2"/>
      </rPr>
      <t xml:space="preserve">分（</t>
    </r>
    <r>
      <rPr>
        <sz val="10"/>
        <rFont val="Arial"/>
        <family val="0"/>
        <charset val="1"/>
      </rPr>
      <t xml:space="preserve">R$ 12.99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</si>
  <si>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R$ 12,99</t>
    </r>
    <r>
      <rPr>
        <sz val="10"/>
        <rFont val="Noto Sans CJK SC"/>
        <family val="2"/>
      </rPr>
      <t xml:space="preserve">（划线）</t>
    </r>
  </si>
  <si>
    <r>
      <rPr>
        <sz val="10"/>
        <rFont val="Arial"/>
        <family val="0"/>
        <charset val="1"/>
      </rPr>
      <t xml:space="preserve">Taxa de entrega </t>
    </r>
    <r>
      <rPr>
        <sz val="10"/>
        <rFont val="Noto Sans CJK SC"/>
        <family val="2"/>
      </rPr>
      <t xml:space="preserve">划线价</t>
    </r>
  </si>
  <si>
    <t xml:space="preserve">delivery_final</t>
  </si>
  <si>
    <t xml:space="preserve">配送费折后价</t>
  </si>
  <si>
    <t xml:space="preserve">配送费折后价，仅保留数字，单位：分</t>
  </si>
  <si>
    <r>
      <rPr>
        <sz val="10"/>
        <rFont val="Arial"/>
        <family val="0"/>
        <charset val="1"/>
      </rPr>
      <t xml:space="preserve">299 </t>
    </r>
    <r>
      <rPr>
        <sz val="10"/>
        <rFont val="Noto Sans CJK SC"/>
        <family val="2"/>
      </rPr>
      <t xml:space="preserve">分（</t>
    </r>
    <r>
      <rPr>
        <sz val="10"/>
        <rFont val="Arial"/>
        <family val="0"/>
        <charset val="1"/>
      </rPr>
      <t xml:space="preserve">R$ 2.99</t>
    </r>
    <r>
      <rPr>
        <sz val="10"/>
        <rFont val="Noto Sans CJK SC"/>
        <family val="2"/>
      </rPr>
      <t xml:space="preserve">）</t>
    </r>
  </si>
  <si>
    <t xml:space="preserve">R$ 2,99</t>
  </si>
  <si>
    <r>
      <rPr>
        <sz val="10"/>
        <rFont val="Arial"/>
        <family val="0"/>
        <charset val="1"/>
      </rPr>
      <t xml:space="preserve">Taxa de entrega </t>
    </r>
    <r>
      <rPr>
        <sz val="10"/>
        <rFont val="Noto Sans CJK SC"/>
        <family val="2"/>
      </rPr>
      <t xml:space="preserve">当前价</t>
    </r>
  </si>
  <si>
    <t xml:space="preserve">service_original</t>
  </si>
  <si>
    <t xml:space="preserve">服务费原价</t>
  </si>
  <si>
    <t xml:space="preserve">服务费原价，仅保留数字，单位：分</t>
  </si>
  <si>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分（</t>
    </r>
    <r>
      <rPr>
        <sz val="10"/>
        <rFont val="Arial"/>
        <family val="0"/>
        <charset val="1"/>
      </rPr>
      <t xml:space="preserve">R$ 0.99</t>
    </r>
    <r>
      <rPr>
        <sz val="10"/>
        <rFont val="Noto Sans CJK SC"/>
        <family val="2"/>
      </rPr>
      <t xml:space="preserve">）</t>
    </r>
  </si>
  <si>
    <t xml:space="preserve">R$ 0,99</t>
  </si>
  <si>
    <t xml:space="preserve">页面只显示一个服务费价格</t>
  </si>
  <si>
    <t xml:space="preserve">service_final</t>
  </si>
  <si>
    <t xml:space="preserve">服务费折后价</t>
  </si>
  <si>
    <t xml:space="preserve">服务费折后价，仅保留数字，单位：分</t>
  </si>
  <si>
    <t xml:space="preserve">无服务费优惠显示</t>
  </si>
  <si>
    <t xml:space="preserve">total_original</t>
  </si>
  <si>
    <t xml:space="preserve">订单原价总额</t>
  </si>
  <si>
    <t xml:space="preserve">仅保留数字，单位：分</t>
  </si>
  <si>
    <r>
      <rPr>
        <sz val="10"/>
        <rFont val="Arial"/>
        <family val="0"/>
        <charset val="1"/>
      </rPr>
      <t xml:space="preserve">5898 </t>
    </r>
    <r>
      <rPr>
        <sz val="10"/>
        <rFont val="Noto Sans CJK SC"/>
        <family val="2"/>
      </rPr>
      <t xml:space="preserve">分（</t>
    </r>
    <r>
      <rPr>
        <sz val="10"/>
        <rFont val="Arial"/>
        <family val="0"/>
        <charset val="1"/>
      </rPr>
      <t xml:space="preserve">R$ 58.98</t>
    </r>
    <r>
      <rPr>
        <sz val="10"/>
        <rFont val="Noto Sans CJK SC"/>
        <family val="2"/>
      </rPr>
      <t xml:space="preserve">，推算）</t>
    </r>
  </si>
  <si>
    <r>
      <rPr>
        <sz val="10"/>
        <rFont val="Arial"/>
        <family val="0"/>
        <charset val="1"/>
      </rPr>
      <t xml:space="preserve">45.00+12.99+0.99</t>
    </r>
    <r>
      <rPr>
        <sz val="10"/>
        <rFont val="Noto Sans CJK SC"/>
        <family val="2"/>
      </rPr>
      <t xml:space="preserve">，页面未单列</t>
    </r>
  </si>
  <si>
    <t xml:space="preserve">total_final</t>
  </si>
  <si>
    <t xml:space="preserve">订单折后总额</t>
  </si>
  <si>
    <r>
      <rPr>
        <sz val="10"/>
        <rFont val="Arial"/>
        <family val="0"/>
        <charset val="1"/>
      </rPr>
      <t xml:space="preserve">4898 </t>
    </r>
    <r>
      <rPr>
        <sz val="10"/>
        <rFont val="Noto Sans CJK SC"/>
        <family val="2"/>
      </rPr>
      <t xml:space="preserve">分（</t>
    </r>
    <r>
      <rPr>
        <sz val="10"/>
        <rFont val="Arial"/>
        <family val="0"/>
        <charset val="1"/>
      </rPr>
      <t xml:space="preserve">R$ 48.98</t>
    </r>
    <r>
      <rPr>
        <sz val="10"/>
        <rFont val="Noto Sans CJK SC"/>
        <family val="2"/>
      </rPr>
      <t xml:space="preserve">）</t>
    </r>
  </si>
  <si>
    <t xml:space="preserve">Total R$ 48,98</t>
  </si>
  <si>
    <t xml:space="preserve">红框值</t>
  </si>
  <si>
    <t xml:space="preserve">distance</t>
  </si>
  <si>
    <t xml:space="preserve">配送距离</t>
  </si>
  <si>
    <t xml:space="preserve">结算页不展示</t>
  </si>
  <si>
    <t xml:space="preserve">shop_status</t>
  </si>
  <si>
    <t xml:space="preserve">店铺状态</t>
  </si>
  <si>
    <r>
      <rPr>
        <sz val="10"/>
        <rFont val="Noto Sans CJK SC"/>
        <family val="2"/>
      </rPr>
      <t xml:space="preserve">店铺状态，枚举：</t>
    </r>
    <r>
      <rPr>
        <sz val="10"/>
        <rFont val="Arial"/>
        <family val="0"/>
        <charset val="1"/>
      </rPr>
      <t xml:space="preserve">open/close</t>
    </r>
    <r>
      <rPr>
        <sz val="10"/>
        <rFont val="Noto Sans CJK SC"/>
        <family val="2"/>
      </rPr>
      <t xml:space="preserve">等</t>
    </r>
  </si>
  <si>
    <r>
      <rPr>
        <sz val="10"/>
        <rFont val="Arial"/>
        <family val="0"/>
        <charset val="1"/>
      </rPr>
      <t xml:space="preserve">open</t>
    </r>
    <r>
      <rPr>
        <sz val="10"/>
        <rFont val="Noto Sans CJK SC"/>
        <family val="2"/>
      </rPr>
      <t xml:space="preserve">（可下单）</t>
    </r>
  </si>
  <si>
    <r>
      <rPr>
        <sz val="10"/>
        <rFont val="Arial"/>
        <family val="0"/>
        <charset val="1"/>
      </rPr>
      <t xml:space="preserve">Fazer pedido </t>
    </r>
    <r>
      <rPr>
        <sz val="10"/>
        <rFont val="Noto Sans CJK SC"/>
        <family val="2"/>
      </rPr>
      <t xml:space="preserve">可点击</t>
    </r>
  </si>
  <si>
    <t xml:space="preserve">页面可进入结算并提交订单</t>
  </si>
  <si>
    <r>
      <rPr>
        <b val="true"/>
        <sz val="10"/>
        <color rgb="FFFFFFFF"/>
        <rFont val="Noto Sans CJK SC"/>
        <family val="2"/>
      </rPr>
      <t xml:space="preserve">批次号
</t>
    </r>
    <r>
      <rPr>
        <b val="true"/>
        <sz val="10"/>
        <color rgb="FFFFFFFF"/>
        <rFont val="Arial"/>
        <family val="0"/>
        <charset val="1"/>
      </rPr>
      <t xml:space="preserve">batch_no</t>
    </r>
  </si>
  <si>
    <r>
      <rPr>
        <b val="true"/>
        <sz val="10"/>
        <color rgb="FFFFFFFF"/>
        <rFont val="Noto Sans CJK SC"/>
        <family val="2"/>
      </rPr>
      <t xml:space="preserve">国家
</t>
    </r>
    <r>
      <rPr>
        <b val="true"/>
        <sz val="10"/>
        <color rgb="FFFFFFFF"/>
        <rFont val="Arial"/>
        <family val="0"/>
        <charset val="1"/>
      </rPr>
      <t xml:space="preserve">country</t>
    </r>
  </si>
  <si>
    <r>
      <rPr>
        <b val="true"/>
        <sz val="10"/>
        <color rgb="FFFFFFFF"/>
        <rFont val="Noto Sans CJK SC"/>
        <family val="2"/>
      </rPr>
      <t xml:space="preserve">平台
</t>
    </r>
    <r>
      <rPr>
        <b val="true"/>
        <sz val="10"/>
        <color rgb="FFFFFFFF"/>
        <rFont val="Arial"/>
        <family val="0"/>
        <charset val="1"/>
      </rPr>
      <t xml:space="preserve">platform</t>
    </r>
  </si>
  <si>
    <r>
      <rPr>
        <b val="true"/>
        <sz val="10"/>
        <color rgb="FFFFFFFF"/>
        <rFont val="Noto Sans CJK SC"/>
        <family val="2"/>
      </rPr>
      <t xml:space="preserve">城市名称
</t>
    </r>
    <r>
      <rPr>
        <b val="true"/>
        <sz val="10"/>
        <color rgb="FFFFFFFF"/>
        <rFont val="Arial"/>
        <family val="0"/>
        <charset val="1"/>
      </rPr>
      <t xml:space="preserve">city_name</t>
    </r>
  </si>
  <si>
    <r>
      <rPr>
        <b val="true"/>
        <sz val="10"/>
        <color rgb="FFFFFFFF"/>
        <rFont val="Noto Sans CJK SC"/>
        <family val="2"/>
      </rPr>
      <t xml:space="preserve">采集时间
</t>
    </r>
    <r>
      <rPr>
        <b val="true"/>
        <sz val="10"/>
        <color rgb="FFFFFFFF"/>
        <rFont val="Arial"/>
        <family val="0"/>
        <charset val="1"/>
      </rPr>
      <t xml:space="preserve">crawl_time</t>
    </r>
  </si>
  <si>
    <r>
      <rPr>
        <b val="true"/>
        <sz val="10"/>
        <color rgb="FFFFFFFF"/>
        <rFont val="Noto Sans CJK SC"/>
        <family val="2"/>
      </rPr>
      <t xml:space="preserve">用户</t>
    </r>
    <r>
      <rPr>
        <b val="true"/>
        <sz val="10"/>
        <color rgb="FFFFFFFF"/>
        <rFont val="Arial"/>
        <family val="0"/>
        <charset val="1"/>
      </rPr>
      <t xml:space="preserve">ID
account_id</t>
    </r>
  </si>
  <si>
    <r>
      <rPr>
        <b val="true"/>
        <sz val="10"/>
        <color rgb="FFFFFFFF"/>
        <rFont val="Noto Sans CJK SC"/>
        <family val="2"/>
      </rPr>
      <t xml:space="preserve">历史完成订单数
</t>
    </r>
    <r>
      <rPr>
        <b val="true"/>
        <sz val="10"/>
        <color rgb="FFFFFFFF"/>
        <rFont val="Arial"/>
        <family val="0"/>
        <charset val="1"/>
      </rPr>
      <t xml:space="preserve">user_completed_orders_count</t>
    </r>
  </si>
  <si>
    <r>
      <rPr>
        <b val="true"/>
        <sz val="10"/>
        <color rgb="FFFFFFFF"/>
        <rFont val="Noto Sans CJK SC"/>
        <family val="2"/>
      </rPr>
      <t xml:space="preserve">账号类型
</t>
    </r>
    <r>
      <rPr>
        <b val="true"/>
        <sz val="10"/>
        <color rgb="FFFFFFFF"/>
        <rFont val="Arial"/>
        <family val="0"/>
        <charset val="1"/>
      </rPr>
      <t xml:space="preserve">account_type</t>
    </r>
  </si>
  <si>
    <r>
      <rPr>
        <b val="true"/>
        <sz val="10"/>
        <color rgb="FFFFFFFF"/>
        <rFont val="Noto Sans CJK SC"/>
        <family val="2"/>
      </rPr>
      <t xml:space="preserve">是否会员
</t>
    </r>
    <r>
      <rPr>
        <b val="true"/>
        <sz val="10"/>
        <color rgb="FFFFFFFF"/>
        <rFont val="Arial"/>
        <family val="0"/>
        <charset val="1"/>
      </rPr>
      <t xml:space="preserve">is_member</t>
    </r>
  </si>
  <si>
    <r>
      <rPr>
        <b val="true"/>
        <sz val="10"/>
        <color rgb="FFFFFFFF"/>
        <rFont val="Noto Sans CJK SC"/>
        <family val="2"/>
      </rPr>
      <t xml:space="preserve">店铺</t>
    </r>
    <r>
      <rPr>
        <b val="true"/>
        <sz val="10"/>
        <color rgb="FFFFFFFF"/>
        <rFont val="Arial"/>
        <family val="0"/>
        <charset val="1"/>
      </rPr>
      <t xml:space="preserve">ID
shop_id</t>
    </r>
  </si>
  <si>
    <r>
      <rPr>
        <b val="true"/>
        <sz val="10"/>
        <color rgb="FFFFFFFF"/>
        <rFont val="Noto Sans CJK SC"/>
        <family val="2"/>
      </rPr>
      <t xml:space="preserve">店铺名称
</t>
    </r>
    <r>
      <rPr>
        <b val="true"/>
        <sz val="10"/>
        <color rgb="FFFFFFFF"/>
        <rFont val="Arial"/>
        <family val="0"/>
        <charset val="1"/>
      </rPr>
      <t xml:space="preserve">shop_name</t>
    </r>
  </si>
  <si>
    <r>
      <rPr>
        <b val="true"/>
        <sz val="10"/>
        <color rgb="FFFFFFFF"/>
        <rFont val="Noto Sans CJK SC"/>
        <family val="2"/>
      </rPr>
      <t xml:space="preserve">采集点纬度
</t>
    </r>
    <r>
      <rPr>
        <b val="true"/>
        <sz val="10"/>
        <color rgb="FFFFFFFF"/>
        <rFont val="Arial"/>
        <family val="0"/>
        <charset val="1"/>
      </rPr>
      <t xml:space="preserve">crawl_lat</t>
    </r>
  </si>
  <si>
    <r>
      <rPr>
        <b val="true"/>
        <sz val="10"/>
        <color rgb="FFFFFFFF"/>
        <rFont val="Noto Sans CJK SC"/>
        <family val="2"/>
      </rPr>
      <t xml:space="preserve">采集点经度
</t>
    </r>
    <r>
      <rPr>
        <b val="true"/>
        <sz val="10"/>
        <color rgb="FFFFFFFF"/>
        <rFont val="Arial"/>
        <family val="0"/>
        <charset val="1"/>
      </rPr>
      <t xml:space="preserve">crawl_lng</t>
    </r>
  </si>
  <si>
    <r>
      <rPr>
        <b val="true"/>
        <sz val="10"/>
        <color rgb="FFFFFFFF"/>
        <rFont val="Noto Sans CJK SC"/>
        <family val="2"/>
      </rPr>
      <t xml:space="preserve">采集点地址
</t>
    </r>
    <r>
      <rPr>
        <b val="true"/>
        <sz val="10"/>
        <color rgb="FFFFFFFF"/>
        <rFont val="Arial"/>
        <family val="0"/>
        <charset val="1"/>
      </rPr>
      <t xml:space="preserve">crawl_address</t>
    </r>
  </si>
  <si>
    <r>
      <rPr>
        <b val="true"/>
        <sz val="10"/>
        <color rgb="FFFFFFFF"/>
        <rFont val="Noto Sans CJK SC"/>
        <family val="2"/>
      </rPr>
      <t xml:space="preserve">店铺纬度
</t>
    </r>
    <r>
      <rPr>
        <b val="true"/>
        <sz val="10"/>
        <color rgb="FFFFFFFF"/>
        <rFont val="Arial"/>
        <family val="0"/>
        <charset val="1"/>
      </rPr>
      <t xml:space="preserve">shop_lat</t>
    </r>
  </si>
  <si>
    <r>
      <rPr>
        <b val="true"/>
        <sz val="10"/>
        <color rgb="FFFFFFFF"/>
        <rFont val="Noto Sans CJK SC"/>
        <family val="2"/>
      </rPr>
      <t xml:space="preserve">店铺经度
</t>
    </r>
    <r>
      <rPr>
        <b val="true"/>
        <sz val="10"/>
        <color rgb="FFFFFFFF"/>
        <rFont val="Arial"/>
        <family val="0"/>
        <charset val="1"/>
      </rPr>
      <t xml:space="preserve">shop_lng</t>
    </r>
  </si>
  <si>
    <r>
      <rPr>
        <b val="true"/>
        <sz val="10"/>
        <color rgb="FFFFFFFF"/>
        <rFont val="Noto Sans CJK SC"/>
        <family val="2"/>
      </rPr>
      <t xml:space="preserve">店铺地址
</t>
    </r>
    <r>
      <rPr>
        <b val="true"/>
        <sz val="10"/>
        <color rgb="FFFFFFFF"/>
        <rFont val="Arial"/>
        <family val="0"/>
        <charset val="1"/>
      </rPr>
      <t xml:space="preserve">shop_address</t>
    </r>
  </si>
  <si>
    <r>
      <rPr>
        <b val="true"/>
        <sz val="10"/>
        <color rgb="FFFFFFFF"/>
        <rFont val="Noto Sans CJK SC"/>
        <family val="2"/>
      </rPr>
      <t xml:space="preserve">最小配送时长
</t>
    </r>
    <r>
      <rPr>
        <b val="true"/>
        <sz val="10"/>
        <color rgb="FFFFFFFF"/>
        <rFont val="Arial"/>
        <family val="0"/>
        <charset val="1"/>
      </rPr>
      <t xml:space="preserve">ceta_min</t>
    </r>
  </si>
  <si>
    <r>
      <rPr>
        <b val="true"/>
        <sz val="10"/>
        <color rgb="FFFFFFFF"/>
        <rFont val="Noto Sans CJK SC"/>
        <family val="2"/>
      </rPr>
      <t xml:space="preserve">最大配送时长
</t>
    </r>
    <r>
      <rPr>
        <b val="true"/>
        <sz val="10"/>
        <color rgb="FFFFFFFF"/>
        <rFont val="Arial"/>
        <family val="0"/>
        <charset val="1"/>
      </rPr>
      <t xml:space="preserve">ceta_max</t>
    </r>
  </si>
  <si>
    <r>
      <rPr>
        <b val="true"/>
        <sz val="10"/>
        <color rgb="FFFFFFFF"/>
        <rFont val="Noto Sans CJK SC"/>
        <family val="2"/>
      </rPr>
      <t xml:space="preserve">商品信息
</t>
    </r>
    <r>
      <rPr>
        <b val="true"/>
        <sz val="10"/>
        <color rgb="FFFFFFFF"/>
        <rFont val="Arial"/>
        <family val="0"/>
        <charset val="1"/>
      </rPr>
      <t xml:space="preserve">product_info</t>
    </r>
  </si>
  <si>
    <r>
      <rPr>
        <b val="true"/>
        <sz val="10"/>
        <color rgb="FFFFFFFF"/>
        <rFont val="Noto Sans CJK SC"/>
        <family val="2"/>
      </rPr>
      <t xml:space="preserve">商品原价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product_original</t>
    </r>
  </si>
  <si>
    <r>
      <rPr>
        <b val="true"/>
        <sz val="10"/>
        <color rgb="FFFFFFFF"/>
        <rFont val="Noto Sans CJK SC"/>
        <family val="2"/>
      </rPr>
      <t xml:space="preserve">商品折后价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product_final</t>
    </r>
  </si>
  <si>
    <r>
      <rPr>
        <b val="true"/>
        <sz val="10"/>
        <color rgb="FFFFFFFF"/>
        <rFont val="Noto Sans CJK SC"/>
        <family val="2"/>
      </rPr>
      <t xml:space="preserve">配送费原价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delivery_original</t>
    </r>
  </si>
  <si>
    <r>
      <rPr>
        <b val="true"/>
        <sz val="10"/>
        <color rgb="FFFFFFFF"/>
        <rFont val="Noto Sans CJK SC"/>
        <family val="2"/>
      </rPr>
      <t xml:space="preserve">配送费折后价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delivery_final</t>
    </r>
  </si>
  <si>
    <r>
      <rPr>
        <b val="true"/>
        <sz val="10"/>
        <color rgb="FFFFFFFF"/>
        <rFont val="Noto Sans CJK SC"/>
        <family val="2"/>
      </rPr>
      <t xml:space="preserve">服务费原价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service_original</t>
    </r>
  </si>
  <si>
    <r>
      <rPr>
        <b val="true"/>
        <sz val="10"/>
        <color rgb="FFFFFFFF"/>
        <rFont val="Noto Sans CJK SC"/>
        <family val="2"/>
      </rPr>
      <t xml:space="preserve">服务费折后价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service_final</t>
    </r>
  </si>
  <si>
    <r>
      <rPr>
        <b val="true"/>
        <sz val="10"/>
        <color rgb="FFFFFFFF"/>
        <rFont val="Noto Sans CJK SC"/>
        <family val="2"/>
      </rPr>
      <t xml:space="preserve">订单原价总额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total_original</t>
    </r>
  </si>
  <si>
    <r>
      <rPr>
        <b val="true"/>
        <sz val="10"/>
        <color rgb="FFFFFFFF"/>
        <rFont val="Noto Sans CJK SC"/>
        <family val="2"/>
      </rPr>
      <t xml:space="preserve">订单折后总额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
total_final</t>
    </r>
  </si>
  <si>
    <r>
      <rPr>
        <b val="true"/>
        <sz val="10"/>
        <color rgb="FFFFFFFF"/>
        <rFont val="Noto Sans CJK SC"/>
        <family val="2"/>
      </rPr>
      <t xml:space="preserve">配送距离
</t>
    </r>
    <r>
      <rPr>
        <b val="true"/>
        <sz val="10"/>
        <color rgb="FFFFFFFF"/>
        <rFont val="Arial"/>
        <family val="0"/>
        <charset val="1"/>
      </rPr>
      <t xml:space="preserve">distance</t>
    </r>
  </si>
  <si>
    <r>
      <rPr>
        <b val="true"/>
        <sz val="10"/>
        <color rgb="FFFFFFFF"/>
        <rFont val="Noto Sans CJK SC"/>
        <family val="2"/>
      </rPr>
      <t xml:space="preserve">店铺状态
</t>
    </r>
    <r>
      <rPr>
        <b val="true"/>
        <sz val="10"/>
        <color rgb="FFFFFFFF"/>
        <rFont val="Arial"/>
        <family val="0"/>
        <charset val="1"/>
      </rPr>
      <t xml:space="preserve">shop_status</t>
    </r>
  </si>
  <si>
    <r>
      <rPr>
        <sz val="10"/>
        <rFont val="Noto Sans CJK SC"/>
        <family val="2"/>
      </rPr>
      <t xml:space="preserve">圣保罗 </t>
    </r>
    <r>
      <rPr>
        <sz val="10"/>
        <rFont val="Arial"/>
        <family val="0"/>
        <charset val="1"/>
      </rPr>
      <t xml:space="preserve">São Paulo</t>
    </r>
  </si>
  <si>
    <t xml:space="preserve">Açaí tapioca WRK</t>
  </si>
  <si>
    <r>
      <rPr>
        <sz val="10"/>
        <rFont val="Arial"/>
        <family val="0"/>
        <charset val="1"/>
      </rPr>
      <t xml:space="preserve">07:12</t>
    </r>
    <r>
      <rPr>
        <sz val="10"/>
        <rFont val="Noto Sans CJK SC"/>
        <family val="2"/>
      </rPr>
      <t xml:space="preserve">（时刻）</t>
    </r>
  </si>
  <si>
    <r>
      <rPr>
        <sz val="10"/>
        <rFont val="Arial"/>
        <family val="0"/>
        <charset val="1"/>
      </rPr>
      <t xml:space="preserve">07:27</t>
    </r>
    <r>
      <rPr>
        <sz val="10"/>
        <rFont val="Noto Sans CJK SC"/>
        <family val="2"/>
      </rPr>
      <t xml:space="preserve">（时刻）</t>
    </r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</si>
  <si>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 </t>
    </r>
    <r>
      <rPr>
        <sz val="10"/>
        <rFont val="Arial"/>
        <family val="0"/>
        <charset val="1"/>
      </rPr>
      <t xml:space="preserve">Nutella </t>
    </r>
    <r>
      <rPr>
        <sz val="10"/>
        <rFont val="Noto Sans CJK SC"/>
        <family val="2"/>
      </rPr>
      <t xml:space="preserve">榛子可可酱木薯饼（</t>
    </r>
    <r>
      <rPr>
        <sz val="10"/>
        <rFont val="Arial"/>
        <family val="0"/>
        <charset val="1"/>
      </rPr>
      <t xml:space="preserve">3 × Tapioca Com Nutella</t>
    </r>
    <r>
      <rPr>
        <sz val="10"/>
        <rFont val="Noto Sans CJK SC"/>
        <family val="2"/>
      </rPr>
      <t xml:space="preserve">）</t>
    </r>
  </si>
  <si>
    <t xml:space="preserve">核算校验（公式自动计算，改上面金额后会自动更新）</t>
  </si>
  <si>
    <r>
      <rPr>
        <sz val="10"/>
        <rFont val="Noto Sans CJK SC"/>
        <family val="2"/>
      </rPr>
      <t xml:space="preserve">折后合计校验（商品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配送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服务）</t>
    </r>
  </si>
  <si>
    <r>
      <rPr>
        <sz val="9"/>
        <color rgb="FF595959"/>
        <rFont val="Noto Sans CJK SC"/>
        <family val="2"/>
      </rPr>
      <t xml:space="preserve">应等于 </t>
    </r>
    <r>
      <rPr>
        <sz val="9"/>
        <color rgb="FF595959"/>
        <rFont val="Arial"/>
        <family val="0"/>
        <charset val="1"/>
      </rPr>
      <t xml:space="preserve">total_final 4898</t>
    </r>
  </si>
  <si>
    <r>
      <rPr>
        <sz val="10"/>
        <rFont val="Noto Sans CJK SC"/>
        <family val="2"/>
      </rPr>
      <t xml:space="preserve">原价合计校验（商品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配送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服务）</t>
    </r>
  </si>
  <si>
    <r>
      <rPr>
        <sz val="9"/>
        <color rgb="FF595959"/>
        <rFont val="Noto Sans CJK SC"/>
        <family val="2"/>
      </rPr>
      <t xml:space="preserve">应等于 </t>
    </r>
    <r>
      <rPr>
        <sz val="9"/>
        <color rgb="FF595959"/>
        <rFont val="Arial"/>
        <family val="0"/>
        <charset val="1"/>
      </rPr>
      <t xml:space="preserve">total_original 5898</t>
    </r>
    <r>
      <rPr>
        <sz val="9"/>
        <color rgb="FF595959"/>
        <rFont val="Noto Sans CJK SC"/>
        <family val="2"/>
      </rPr>
      <t xml:space="preserve">（推算）</t>
    </r>
  </si>
  <si>
    <t xml:space="preserve">配送费优惠校验</t>
  </si>
  <si>
    <r>
      <rPr>
        <sz val="9"/>
        <color rgb="FF595959"/>
        <rFont val="Noto Sans CJK SC"/>
        <family val="2"/>
      </rPr>
      <t xml:space="preserve">应等于 </t>
    </r>
    <r>
      <rPr>
        <sz val="9"/>
        <color rgb="FF595959"/>
        <rFont val="Arial"/>
        <family val="0"/>
        <charset val="1"/>
      </rPr>
      <t xml:space="preserve">R$10.00 = 1000 </t>
    </r>
    <r>
      <rPr>
        <sz val="9"/>
        <color rgb="FF595959"/>
        <rFont val="Noto Sans CJK SC"/>
        <family val="2"/>
      </rPr>
      <t xml:space="preserve">分</t>
    </r>
  </si>
  <si>
    <t xml:space="preserve">葡语原文</t>
  </si>
  <si>
    <t xml:space="preserve">中文翻译</t>
  </si>
  <si>
    <r>
      <rPr>
        <b val="true"/>
        <sz val="10"/>
        <color rgb="FFFFFFFF"/>
        <rFont val="Noto Sans CJK SC"/>
        <family val="2"/>
      </rPr>
      <t xml:space="preserve">数值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标识</t>
    </r>
  </si>
  <si>
    <t xml:space="preserve">备注</t>
  </si>
  <si>
    <r>
      <rPr>
        <sz val="10"/>
        <rFont val="Noto Sans CJK SC"/>
        <family val="2"/>
      </rPr>
      <t xml:space="preserve">巴西莓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木薯饼 </t>
    </r>
    <r>
      <rPr>
        <sz val="10"/>
        <rFont val="Arial"/>
        <family val="0"/>
        <charset val="1"/>
      </rPr>
      <t xml:space="preserve">WRK</t>
    </r>
  </si>
  <si>
    <r>
      <rPr>
        <sz val="10"/>
        <rFont val="Arial"/>
        <family val="0"/>
        <charset val="1"/>
      </rPr>
      <t xml:space="preserve">3 itens → 3 </t>
    </r>
    <r>
      <rPr>
        <sz val="10"/>
        <rFont val="Noto Sans CJK SC"/>
        <family val="2"/>
      </rPr>
      <t xml:space="preserve">件</t>
    </r>
  </si>
  <si>
    <r>
      <rPr>
        <sz val="10"/>
        <rFont val="Arial"/>
        <family val="0"/>
        <charset val="1"/>
      </rPr>
      <t xml:space="preserve">Resumo do pedido</t>
    </r>
    <r>
      <rPr>
        <sz val="10"/>
        <rFont val="Noto Sans CJK SC"/>
        <family val="2"/>
      </rPr>
      <t xml:space="preserve">（订单摘要）中的商户名；品牌名保留原文</t>
    </r>
  </si>
  <si>
    <r>
      <rPr>
        <sz val="10"/>
        <rFont val="Noto Sans CJK SC"/>
        <family val="2"/>
      </rPr>
      <t xml:space="preserve">购买商品明细；单价 </t>
    </r>
    <r>
      <rPr>
        <sz val="10"/>
        <rFont val="Arial"/>
        <family val="0"/>
        <charset val="1"/>
      </rPr>
      <t xml:space="preserve">45.00 ÷ 3 = 15.00</t>
    </r>
  </si>
  <si>
    <t xml:space="preserve">Previsão</t>
  </si>
  <si>
    <t xml:space="preserve">预计送达时间</t>
  </si>
  <si>
    <t xml:space="preserve">07:12–07:27</t>
  </si>
  <si>
    <r>
      <rPr>
        <sz val="10"/>
        <rFont val="Arial"/>
        <family val="0"/>
        <charset val="1"/>
      </rPr>
      <t xml:space="preserve">“Previsão”</t>
    </r>
    <r>
      <rPr>
        <sz val="10"/>
        <rFont val="Noto Sans CJK SC"/>
        <family val="2"/>
      </rPr>
      <t xml:space="preserve">是预计时段，不是配送时长</t>
    </r>
  </si>
  <si>
    <r>
      <rPr>
        <sz val="10"/>
        <rFont val="Noto Sans CJK SC"/>
        <family val="2"/>
      </rPr>
      <t xml:space="preserve">最小配送时长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最大配送时长</t>
    </r>
  </si>
  <si>
    <t xml:space="preserve">（图中红字标注）</t>
  </si>
  <si>
    <t xml:space="preserve">07:12 / 07:27</t>
  </si>
  <si>
    <t xml:space="preserve">需求表对这两个时刻的命名，按时刻理解</t>
  </si>
  <si>
    <t xml:space="preserve">Rua Marcílio de Sá, 231, São Paulo, SP</t>
  </si>
  <si>
    <r>
      <rPr>
        <sz val="10"/>
        <rFont val="Noto Sans CJK SC"/>
        <family val="2"/>
      </rPr>
      <t xml:space="preserve">圣保罗州圣保罗市马尔西利奥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萨街 </t>
    </r>
    <r>
      <rPr>
        <sz val="10"/>
        <rFont val="Arial"/>
        <family val="0"/>
        <charset val="1"/>
      </rPr>
      <t xml:space="preserve">231 </t>
    </r>
    <r>
      <rPr>
        <sz val="10"/>
        <rFont val="Noto Sans CJK SC"/>
        <family val="2"/>
      </rPr>
      <t xml:space="preserve">号</t>
    </r>
  </si>
  <si>
    <r>
      <rPr>
        <sz val="10"/>
        <rFont val="Noto Sans CJK SC"/>
        <family val="2"/>
      </rPr>
      <t xml:space="preserve">配送地址；下方 </t>
    </r>
    <r>
      <rPr>
        <sz val="10"/>
        <rFont val="Arial"/>
        <family val="0"/>
        <charset val="1"/>
      </rPr>
      <t xml:space="preserve">Jardim das Vertentes </t>
    </r>
    <r>
      <rPr>
        <sz val="10"/>
        <rFont val="Noto Sans CJK SC"/>
        <family val="2"/>
      </rPr>
      <t xml:space="preserve">为街区名</t>
    </r>
  </si>
  <si>
    <t xml:space="preserve">Jardim das Vertentes</t>
  </si>
  <si>
    <r>
      <rPr>
        <sz val="10"/>
        <rFont val="Noto Sans CJK SC"/>
        <family val="2"/>
      </rPr>
      <t xml:space="preserve">雅尔丁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达斯韦尔滕特斯（街区）</t>
    </r>
  </si>
  <si>
    <t xml:space="preserve">地址第二行</t>
  </si>
  <si>
    <t xml:space="preserve">Pedir agora</t>
  </si>
  <si>
    <t xml:space="preserve">立即下单</t>
  </si>
  <si>
    <t xml:space="preserve">页面标题</t>
  </si>
  <si>
    <t xml:space="preserve">Resumo do pedido</t>
  </si>
  <si>
    <t xml:space="preserve">订单摘要</t>
  </si>
  <si>
    <t xml:space="preserve">右侧区块标题</t>
  </si>
  <si>
    <t xml:space="preserve">Subtotal</t>
  </si>
  <si>
    <t xml:space="preserve">商品小计（原价）</t>
  </si>
  <si>
    <r>
      <rPr>
        <sz val="10"/>
        <rFont val="Noto Sans CJK SC"/>
        <family val="2"/>
      </rPr>
      <t xml:space="preserve">红框；对应 </t>
    </r>
    <r>
      <rPr>
        <sz val="10"/>
        <rFont val="Arial"/>
        <family val="0"/>
        <charset val="1"/>
      </rPr>
      <t xml:space="preserve">product_original</t>
    </r>
  </si>
  <si>
    <t xml:space="preserve">Taxa de entrega</t>
  </si>
  <si>
    <r>
      <rPr>
        <sz val="10"/>
        <rFont val="Noto Sans CJK SC"/>
        <family val="2"/>
      </rPr>
      <t xml:space="preserve">原价 </t>
    </r>
    <r>
      <rPr>
        <sz val="10"/>
        <rFont val="Arial"/>
        <family val="0"/>
        <charset val="1"/>
      </rPr>
      <t xml:space="preserve">R$ 12,99 → R$ 2,99</t>
    </r>
  </si>
  <si>
    <t xml:space="preserve">红框；划线价为原价</t>
  </si>
  <si>
    <t xml:space="preserve">Taxa de serviço</t>
  </si>
  <si>
    <t xml:space="preserve">红框；只有一个价格</t>
  </si>
  <si>
    <t xml:space="preserve">Total</t>
  </si>
  <si>
    <t xml:space="preserve">R$ 48,98</t>
  </si>
  <si>
    <t xml:space="preserve">红框；折后应付</t>
  </si>
  <si>
    <t xml:space="preserve">Desconto de R$ 10,00 aplicado</t>
  </si>
  <si>
    <r>
      <rPr>
        <sz val="10"/>
        <rFont val="Noto Sans CJK SC"/>
        <family val="2"/>
      </rPr>
      <t xml:space="preserve">已应用 </t>
    </r>
    <r>
      <rPr>
        <sz val="10"/>
        <rFont val="Arial"/>
        <family val="0"/>
        <charset val="1"/>
      </rPr>
      <t xml:space="preserve">R$ 10,00 </t>
    </r>
    <r>
      <rPr>
        <sz val="10"/>
        <rFont val="Noto Sans CJK SC"/>
        <family val="2"/>
      </rPr>
      <t xml:space="preserve">优惠</t>
    </r>
  </si>
  <si>
    <t xml:space="preserve">R$ 10,00</t>
  </si>
  <si>
    <r>
      <rPr>
        <sz val="10"/>
        <rFont val="Noto Sans CJK SC"/>
        <family val="2"/>
      </rPr>
      <t xml:space="preserve">配送费差价 </t>
    </r>
    <r>
      <rPr>
        <sz val="10"/>
        <rFont val="Arial"/>
        <family val="0"/>
        <charset val="1"/>
      </rPr>
      <t xml:space="preserve">12.99−2.99=10.00</t>
    </r>
  </si>
  <si>
    <t xml:space="preserve">Desconto instantâneo</t>
  </si>
  <si>
    <t xml:space="preserve">即时折扣</t>
  </si>
  <si>
    <t xml:space="preserve">优惠区块标题</t>
  </si>
  <si>
    <t xml:space="preserve">Ganhe 35% de desconto</t>
  </si>
  <si>
    <r>
      <rPr>
        <sz val="10"/>
        <rFont val="Noto Sans CJK SC"/>
        <family val="2"/>
      </rPr>
      <t xml:space="preserve">享 </t>
    </r>
    <r>
      <rPr>
        <sz val="10"/>
        <rFont val="Arial"/>
        <family val="0"/>
        <charset val="1"/>
      </rPr>
      <t xml:space="preserve">35% </t>
    </r>
    <r>
      <rPr>
        <sz val="10"/>
        <rFont val="Noto Sans CJK SC"/>
        <family val="2"/>
      </rPr>
      <t xml:space="preserve">折扣</t>
    </r>
  </si>
  <si>
    <t xml:space="preserve">35%</t>
  </si>
  <si>
    <t xml:space="preserve">促销横幅，本单未使用</t>
  </si>
  <si>
    <t xml:space="preserve">Cupom / 1 disponível – até R$ 15,75 OFF</t>
  </si>
  <si>
    <r>
      <rPr>
        <sz val="10"/>
        <rFont val="Noto Sans CJK SC"/>
        <family val="2"/>
      </rPr>
      <t xml:space="preserve">优惠券 </t>
    </r>
    <r>
      <rPr>
        <sz val="10"/>
        <rFont val="Arial"/>
        <family val="0"/>
        <charset val="1"/>
      </rPr>
      <t xml:space="preserve">/ 1 </t>
    </r>
    <r>
      <rPr>
        <sz val="10"/>
        <rFont val="Noto Sans CJK SC"/>
        <family val="2"/>
      </rPr>
      <t xml:space="preserve">张可用，最高减 </t>
    </r>
    <r>
      <rPr>
        <sz val="10"/>
        <rFont val="Arial"/>
        <family val="0"/>
        <charset val="1"/>
      </rPr>
      <t xml:space="preserve">R$ 15,75</t>
    </r>
  </si>
  <si>
    <t xml:space="preserve">R$ 15,75</t>
  </si>
  <si>
    <r>
      <rPr>
        <sz val="10"/>
        <rFont val="Noto Sans CJK SC"/>
        <family val="2"/>
      </rPr>
      <t xml:space="preserve">本单未使用；不可与已减 </t>
    </r>
    <r>
      <rPr>
        <sz val="10"/>
        <rFont val="Arial"/>
        <family val="0"/>
        <charset val="1"/>
      </rPr>
      <t xml:space="preserve">10.00 </t>
    </r>
    <r>
      <rPr>
        <sz val="10"/>
        <rFont val="Noto Sans CJK SC"/>
        <family val="2"/>
      </rPr>
      <t xml:space="preserve">混算</t>
    </r>
  </si>
  <si>
    <t xml:space="preserve">Horário Garantido</t>
  </si>
  <si>
    <t xml:space="preserve">准时保障</t>
  </si>
  <si>
    <t xml:space="preserve">配送时效承诺说明</t>
  </si>
  <si>
    <t xml:space="preserve">Fazer pedido</t>
  </si>
  <si>
    <t xml:space="preserve">提交订单</t>
  </si>
  <si>
    <r>
      <rPr>
        <sz val="10"/>
        <rFont val="Noto Sans CJK SC"/>
        <family val="2"/>
      </rPr>
      <t xml:space="preserve">页面可提交，说明店铺可下单（</t>
    </r>
    <r>
      <rPr>
        <sz val="10"/>
        <rFont val="Arial"/>
        <family val="0"/>
        <charset val="1"/>
      </rPr>
      <t xml:space="preserve">open</t>
    </r>
    <r>
      <rPr>
        <sz val="10"/>
        <rFont val="Noto Sans CJK SC"/>
        <family val="2"/>
      </rPr>
      <t xml:space="preserve">）</t>
    </r>
  </si>
  <si>
    <t xml:space="preserve">Google Play Services: atualizando</t>
  </si>
  <si>
    <r>
      <rPr>
        <sz val="10"/>
        <rFont val="Arial"/>
        <family val="0"/>
        <charset val="1"/>
      </rPr>
      <t xml:space="preserve">Google Play </t>
    </r>
    <r>
      <rPr>
        <sz val="10"/>
        <rFont val="Noto Sans CJK SC"/>
        <family val="2"/>
      </rPr>
      <t xml:space="preserve">服务：正在更新</t>
    </r>
  </si>
  <si>
    <t xml:space="preserve">截图环境提示，与业务数据无关</t>
  </si>
  <si>
    <r>
      <rPr>
        <b val="true"/>
        <sz val="12"/>
        <color rgb="FF1F4E79"/>
        <rFont val="Noto Sans CJK SC"/>
        <family val="2"/>
      </rPr>
      <t xml:space="preserve">参考图：</t>
    </r>
    <r>
      <rPr>
        <b val="true"/>
        <sz val="12"/>
        <color rgb="FF1F4E79"/>
        <rFont val="Arial"/>
        <family val="0"/>
        <charset val="1"/>
      </rPr>
      <t xml:space="preserve">weixin-3.png</t>
    </r>
    <r>
      <rPr>
        <b val="true"/>
        <sz val="12"/>
        <color rgb="FF1F4E79"/>
        <rFont val="Noto Sans CJK SC"/>
        <family val="2"/>
      </rPr>
      <t xml:space="preserve">（结算页红框）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</si>
</sst>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Noto Sans CJK SC"/>
      <family val="2"/>
    </font>
    <font>
      <b val="true"/>
      <sz val="18"/>
      <color rgb="FF1F4E79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2"/>
      <color rgb="FF1F4E79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sz val="9"/>
      <name val="Consolas"/>
      <family val="0"/>
      <charset val="1"/>
    </font>
    <font>
      <b val="true"/>
      <sz val="11"/>
      <color rgb="FF1F4E79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0</xdr:col>
      <xdr:colOff>9524520</xdr:colOff>
      <xdr:row>22</xdr:row>
      <xdr:rowOff>114120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437040"/>
          <a:ext cx="9524520" cy="3924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7" min="6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</row>
    <row r="6" customFormat="false" ht="21.75" hidden="false" customHeight="true" outlineLevel="0" collapsed="false">
      <c r="A6" s="6" t="s">
        <v>5</v>
      </c>
      <c r="B6" s="5" t="s">
        <v>6</v>
      </c>
      <c r="C6" s="5"/>
      <c r="D6" s="5"/>
      <c r="E6" s="5"/>
      <c r="F6" s="5"/>
      <c r="G6" s="5"/>
    </row>
    <row r="7" customFormat="false" ht="21.7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</row>
    <row r="8" customFormat="false" ht="21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</row>
    <row r="9" customFormat="false" ht="21.7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</row>
    <row r="10" customFormat="false" ht="21.75" hidden="false" customHeight="true" outlineLevel="0" collapsed="false"/>
    <row r="11" customFormat="false" ht="21.75" hidden="false" customHeight="true" outlineLevel="0" collapsed="false">
      <c r="A11" s="3" t="s">
        <v>13</v>
      </c>
      <c r="B11" s="3"/>
      <c r="C11" s="3"/>
      <c r="D11" s="3"/>
      <c r="E11" s="3"/>
      <c r="F11" s="3"/>
      <c r="G11" s="3"/>
    </row>
    <row r="12" customFormat="false" ht="21.75" hidden="false" customHeight="true" outlineLevel="0" collapsed="false">
      <c r="A12" s="7" t="s">
        <v>14</v>
      </c>
      <c r="B12" s="7" t="s">
        <v>15</v>
      </c>
      <c r="C12" s="7" t="s">
        <v>16</v>
      </c>
      <c r="D12" s="7"/>
      <c r="E12" s="7"/>
      <c r="F12" s="7"/>
      <c r="G12" s="7"/>
    </row>
    <row r="13" customFormat="false" ht="33.75" hidden="false" customHeight="true" outlineLevel="0" collapsed="false">
      <c r="A13" s="8" t="s">
        <v>17</v>
      </c>
      <c r="B13" s="9" t="s">
        <v>18</v>
      </c>
      <c r="C13" s="10" t="s">
        <v>19</v>
      </c>
      <c r="D13" s="10"/>
      <c r="E13" s="10"/>
      <c r="F13" s="10"/>
      <c r="G13" s="10"/>
    </row>
    <row r="14" customFormat="false" ht="21.75" hidden="false" customHeight="true" outlineLevel="0" collapsed="false">
      <c r="A14" s="9" t="s">
        <v>20</v>
      </c>
      <c r="B14" s="9" t="s">
        <v>21</v>
      </c>
      <c r="C14" s="10" t="s">
        <v>22</v>
      </c>
      <c r="D14" s="10"/>
      <c r="E14" s="10"/>
      <c r="F14" s="10"/>
      <c r="G14" s="10"/>
    </row>
    <row r="15" customFormat="false" ht="21.75" hidden="false" customHeight="true" outlineLevel="0" collapsed="false">
      <c r="A15" s="8" t="s">
        <v>23</v>
      </c>
      <c r="B15" s="9" t="s">
        <v>24</v>
      </c>
      <c r="C15" s="10" t="s">
        <v>22</v>
      </c>
      <c r="D15" s="10"/>
      <c r="E15" s="10"/>
      <c r="F15" s="10"/>
      <c r="G15" s="10"/>
    </row>
    <row r="16" customFormat="false" ht="33.75" hidden="false" customHeight="true" outlineLevel="0" collapsed="false">
      <c r="A16" s="8" t="s">
        <v>25</v>
      </c>
      <c r="B16" s="9" t="s">
        <v>26</v>
      </c>
      <c r="C16" s="10" t="s">
        <v>27</v>
      </c>
      <c r="D16" s="10"/>
      <c r="E16" s="10"/>
      <c r="F16" s="10"/>
      <c r="G16" s="10"/>
    </row>
    <row r="17" customFormat="false" ht="47.25" hidden="false" customHeight="true" outlineLevel="0" collapsed="false">
      <c r="A17" s="9" t="s">
        <v>28</v>
      </c>
      <c r="B17" s="9" t="s">
        <v>29</v>
      </c>
      <c r="C17" s="11" t="s">
        <v>30</v>
      </c>
      <c r="D17" s="11"/>
      <c r="E17" s="11"/>
      <c r="F17" s="11"/>
      <c r="G17" s="11"/>
    </row>
    <row r="18" customFormat="false" ht="47.25" hidden="false" customHeight="true" outlineLevel="0" collapsed="false">
      <c r="A18" s="9" t="s">
        <v>31</v>
      </c>
      <c r="B18" s="9" t="s">
        <v>32</v>
      </c>
      <c r="C18" s="11" t="s">
        <v>30</v>
      </c>
      <c r="D18" s="11"/>
      <c r="E18" s="11"/>
      <c r="F18" s="11"/>
      <c r="G18" s="11"/>
    </row>
    <row r="19" customFormat="false" ht="33.75" hidden="false" customHeight="true" outlineLevel="0" collapsed="false">
      <c r="A19" s="8" t="s">
        <v>33</v>
      </c>
      <c r="B19" s="8" t="s">
        <v>34</v>
      </c>
      <c r="C19" s="11" t="s">
        <v>35</v>
      </c>
      <c r="D19" s="11"/>
      <c r="E19" s="11"/>
      <c r="F19" s="11"/>
      <c r="G19" s="11"/>
    </row>
    <row r="20" customFormat="false" ht="47.25" hidden="false" customHeight="true" outlineLevel="0" collapsed="false">
      <c r="A20" s="8" t="s">
        <v>36</v>
      </c>
      <c r="B20" s="9" t="s">
        <v>37</v>
      </c>
      <c r="C20" s="11" t="s">
        <v>38</v>
      </c>
      <c r="D20" s="11"/>
      <c r="E20" s="11"/>
      <c r="F20" s="11"/>
      <c r="G20" s="11"/>
    </row>
    <row r="21" customFormat="false" ht="21.75" hidden="false" customHeight="true" outlineLevel="0" collapsed="false"/>
    <row r="22" customFormat="false" ht="21.75" hidden="false" customHeight="true" outlineLevel="0" collapsed="false">
      <c r="A22" s="3" t="s">
        <v>39</v>
      </c>
      <c r="B22" s="3"/>
      <c r="C22" s="3"/>
      <c r="D22" s="3"/>
      <c r="E22" s="3"/>
      <c r="F22" s="3"/>
      <c r="G22" s="3"/>
    </row>
    <row r="23" customFormat="false" ht="21.75" hidden="false" customHeight="true" outlineLevel="0" collapsed="false">
      <c r="A23" s="12" t="s">
        <v>40</v>
      </c>
      <c r="B23" s="8" t="s">
        <v>41</v>
      </c>
      <c r="C23" s="8"/>
      <c r="D23" s="8"/>
      <c r="E23" s="8"/>
      <c r="F23" s="8"/>
      <c r="G23" s="8"/>
    </row>
    <row r="24" customFormat="false" ht="21.75" hidden="false" customHeight="true" outlineLevel="0" collapsed="false">
      <c r="A24" s="12" t="s">
        <v>42</v>
      </c>
      <c r="B24" s="9" t="s">
        <v>43</v>
      </c>
      <c r="C24" s="9"/>
      <c r="D24" s="9"/>
      <c r="E24" s="9"/>
      <c r="F24" s="9"/>
      <c r="G24" s="9"/>
    </row>
    <row r="25" customFormat="false" ht="21.75" hidden="false" customHeight="true" outlineLevel="0" collapsed="false">
      <c r="A25" s="12" t="s">
        <v>44</v>
      </c>
      <c r="B25" s="9" t="s">
        <v>45</v>
      </c>
      <c r="C25" s="9"/>
      <c r="D25" s="9"/>
      <c r="E25" s="9"/>
      <c r="F25" s="9"/>
      <c r="G25" s="9"/>
    </row>
    <row r="26" customFormat="false" ht="21.75" hidden="false" customHeight="true" outlineLevel="0" collapsed="false">
      <c r="A26" s="12" t="s">
        <v>46</v>
      </c>
      <c r="B26" s="9" t="s">
        <v>47</v>
      </c>
      <c r="C26" s="9"/>
      <c r="D26" s="9"/>
      <c r="E26" s="9"/>
      <c r="F26" s="9"/>
      <c r="G26" s="9"/>
    </row>
    <row r="27" customFormat="false" ht="21.75" hidden="false" customHeight="true" outlineLevel="0" collapsed="false">
      <c r="A27" s="12" t="s">
        <v>48</v>
      </c>
      <c r="B27" s="9" t="s">
        <v>49</v>
      </c>
      <c r="C27" s="9"/>
      <c r="D27" s="9"/>
      <c r="E27" s="9"/>
      <c r="F27" s="9"/>
      <c r="G27" s="9"/>
    </row>
    <row r="28" customFormat="false" ht="21.75" hidden="false" customHeight="true" outlineLevel="0" collapsed="false">
      <c r="A28" s="12" t="s">
        <v>50</v>
      </c>
      <c r="B28" s="8" t="s">
        <v>51</v>
      </c>
      <c r="C28" s="8"/>
      <c r="D28" s="8"/>
      <c r="E28" s="8"/>
      <c r="F28" s="8"/>
      <c r="G28" s="8"/>
    </row>
    <row r="29" customFormat="false" ht="21.75" hidden="false" customHeight="true" outlineLevel="0" collapsed="false"/>
    <row r="30" customFormat="false" ht="21.75" hidden="false" customHeight="true" outlineLevel="0" collapsed="false">
      <c r="A30" s="3" t="s">
        <v>52</v>
      </c>
      <c r="B30" s="3"/>
      <c r="C30" s="3"/>
      <c r="D30" s="3"/>
      <c r="E30" s="3"/>
      <c r="F30" s="3"/>
      <c r="G30" s="3"/>
    </row>
    <row r="31" customFormat="false" ht="21.75" hidden="false" customHeight="true" outlineLevel="0" collapsed="false">
      <c r="A31" s="12" t="s">
        <v>53</v>
      </c>
      <c r="B31" s="9" t="s">
        <v>54</v>
      </c>
      <c r="C31" s="9"/>
      <c r="D31" s="9"/>
      <c r="E31" s="9"/>
      <c r="F31" s="9"/>
      <c r="G31" s="9"/>
    </row>
    <row r="32" customFormat="false" ht="21.75" hidden="false" customHeight="true" outlineLevel="0" collapsed="false">
      <c r="A32" s="12" t="s">
        <v>55</v>
      </c>
      <c r="B32" s="8" t="s">
        <v>56</v>
      </c>
      <c r="C32" s="8"/>
      <c r="D32" s="8"/>
      <c r="E32" s="8"/>
      <c r="F32" s="8"/>
      <c r="G32" s="8"/>
    </row>
    <row r="33" customFormat="false" ht="21.75" hidden="false" customHeight="true" outlineLevel="0" collapsed="false">
      <c r="A33" s="12" t="s">
        <v>57</v>
      </c>
      <c r="B33" s="9" t="s">
        <v>58</v>
      </c>
      <c r="C33" s="9"/>
      <c r="D33" s="9"/>
      <c r="E33" s="9"/>
      <c r="F33" s="9"/>
      <c r="G33" s="9"/>
    </row>
    <row r="34" customFormat="false" ht="21.75" hidden="false" customHeight="true" outlineLevel="0" collapsed="false">
      <c r="A34" s="12" t="s">
        <v>59</v>
      </c>
      <c r="B34" s="9" t="s">
        <v>60</v>
      </c>
      <c r="C34" s="9"/>
      <c r="D34" s="9"/>
      <c r="E34" s="9"/>
      <c r="F34" s="9"/>
      <c r="G34" s="9"/>
    </row>
    <row r="35" customFormat="false" ht="21.75" hidden="false" customHeight="true" outlineLevel="0" collapsed="false">
      <c r="A35" s="12" t="s">
        <v>61</v>
      </c>
      <c r="B35" s="9" t="s">
        <v>62</v>
      </c>
      <c r="C35" s="9"/>
      <c r="D35" s="9"/>
      <c r="E35" s="9"/>
      <c r="F35" s="9"/>
      <c r="G35" s="9"/>
    </row>
    <row r="36" customFormat="false" ht="21.75" hidden="false" customHeight="true" outlineLevel="0" collapsed="false">
      <c r="A36" s="12" t="s">
        <v>63</v>
      </c>
      <c r="B36" s="9" t="s">
        <v>64</v>
      </c>
      <c r="C36" s="9"/>
      <c r="D36" s="9"/>
      <c r="E36" s="9"/>
      <c r="F36" s="9"/>
      <c r="G36" s="9"/>
    </row>
    <row r="37" customFormat="false" ht="21.75" hidden="false" customHeight="true" outlineLevel="0" collapsed="false">
      <c r="A37" s="12" t="s">
        <v>65</v>
      </c>
      <c r="B37" s="8" t="s">
        <v>66</v>
      </c>
      <c r="C37" s="8"/>
      <c r="D37" s="8"/>
      <c r="E37" s="8"/>
      <c r="F37" s="8"/>
      <c r="G37" s="8"/>
    </row>
    <row r="38" customFormat="false" ht="21.75" hidden="false" customHeight="true" outlineLevel="0" collapsed="false"/>
    <row r="39" customFormat="false" ht="21.75" hidden="false" customHeight="true" outlineLevel="0" collapsed="false">
      <c r="A39" s="3" t="s">
        <v>67</v>
      </c>
      <c r="B39" s="3"/>
      <c r="C39" s="3"/>
      <c r="D39" s="3"/>
      <c r="E39" s="3"/>
      <c r="F39" s="3"/>
      <c r="G39" s="3"/>
    </row>
    <row r="40" customFormat="false" ht="21.75" hidden="false" customHeight="true" outlineLevel="0" collapsed="false">
      <c r="A40" s="12" t="s">
        <v>68</v>
      </c>
      <c r="B40" s="9" t="s">
        <v>69</v>
      </c>
      <c r="C40" s="9"/>
      <c r="D40" s="9"/>
      <c r="E40" s="9"/>
      <c r="F40" s="9"/>
      <c r="G40" s="9"/>
    </row>
    <row r="41" customFormat="false" ht="21.75" hidden="false" customHeight="true" outlineLevel="0" collapsed="false">
      <c r="A41" s="12" t="s">
        <v>70</v>
      </c>
      <c r="B41" s="9" t="s">
        <v>71</v>
      </c>
      <c r="C41" s="9"/>
      <c r="D41" s="9"/>
      <c r="E41" s="9"/>
      <c r="F41" s="9"/>
      <c r="G41" s="9"/>
    </row>
    <row r="42" customFormat="false" ht="21.75" hidden="false" customHeight="true" outlineLevel="0" collapsed="false">
      <c r="A42" s="12" t="s">
        <v>72</v>
      </c>
      <c r="B42" s="9" t="s">
        <v>73</v>
      </c>
      <c r="C42" s="9"/>
      <c r="D42" s="9"/>
      <c r="E42" s="9"/>
      <c r="F42" s="9"/>
      <c r="G42" s="9"/>
    </row>
    <row r="43" customFormat="false" ht="21.75" hidden="false" customHeight="true" outlineLevel="0" collapsed="false">
      <c r="A43" s="12" t="s">
        <v>74</v>
      </c>
      <c r="B43" s="8" t="s">
        <v>75</v>
      </c>
      <c r="C43" s="8"/>
      <c r="D43" s="8"/>
      <c r="E43" s="8"/>
      <c r="F43" s="8"/>
      <c r="G43" s="8"/>
    </row>
    <row r="44" customFormat="false" ht="21.75" hidden="false" customHeight="true" outlineLevel="0" collapsed="false">
      <c r="A44" s="12" t="s">
        <v>76</v>
      </c>
      <c r="B44" s="9" t="s">
        <v>77</v>
      </c>
      <c r="C44" s="9"/>
      <c r="D44" s="9"/>
      <c r="E44" s="9"/>
      <c r="F44" s="9"/>
      <c r="G44" s="9"/>
    </row>
    <row r="45" customFormat="false" ht="21.75" hidden="false" customHeight="true" outlineLevel="0" collapsed="false">
      <c r="A45" s="12" t="s">
        <v>78</v>
      </c>
      <c r="B45" s="9" t="s">
        <v>79</v>
      </c>
      <c r="C45" s="9"/>
      <c r="D45" s="9"/>
      <c r="E45" s="9"/>
      <c r="F45" s="9"/>
      <c r="G45" s="9"/>
    </row>
    <row r="46" customFormat="false" ht="21.75" hidden="false" customHeight="true" outlineLevel="0" collapsed="false">
      <c r="A46" s="13" t="s">
        <v>80</v>
      </c>
      <c r="B46" s="9" t="s">
        <v>81</v>
      </c>
      <c r="C46" s="9"/>
      <c r="D46" s="9"/>
      <c r="E46" s="9"/>
      <c r="F46" s="9"/>
      <c r="G46" s="9"/>
    </row>
    <row r="47" customFormat="false" ht="21.75" hidden="false" customHeight="true" outlineLevel="0" collapsed="false">
      <c r="A47" s="12" t="s">
        <v>82</v>
      </c>
      <c r="B47" s="8" t="s">
        <v>83</v>
      </c>
      <c r="C47" s="8"/>
      <c r="D47" s="8"/>
      <c r="E47" s="8"/>
      <c r="F47" s="8"/>
      <c r="G47" s="8"/>
    </row>
    <row r="48" customFormat="false" ht="21.75" hidden="false" customHeight="true" outlineLevel="0" collapsed="false"/>
    <row r="49" customFormat="false" ht="21.75" hidden="false" customHeight="true" outlineLevel="0" collapsed="false">
      <c r="A49" s="3" t="s">
        <v>84</v>
      </c>
      <c r="B49" s="3"/>
      <c r="C49" s="3"/>
      <c r="D49" s="3"/>
      <c r="E49" s="3"/>
      <c r="F49" s="3"/>
      <c r="G49" s="3"/>
    </row>
    <row r="50" customFormat="false" ht="21.75" hidden="false" customHeight="true" outlineLevel="0" collapsed="false">
      <c r="A50" s="14" t="s">
        <v>85</v>
      </c>
      <c r="B50" s="14"/>
      <c r="C50" s="14"/>
      <c r="D50" s="14"/>
      <c r="E50" s="14"/>
      <c r="F50" s="14"/>
      <c r="G50" s="14"/>
    </row>
    <row r="51" customFormat="false" ht="21.75" hidden="false" customHeight="true" outlineLevel="0" collapsed="false">
      <c r="A51" s="14" t="s">
        <v>86</v>
      </c>
      <c r="B51" s="14"/>
      <c r="C51" s="14"/>
      <c r="D51" s="14"/>
      <c r="E51" s="14"/>
      <c r="F51" s="14"/>
      <c r="G51" s="14"/>
    </row>
    <row r="52" customFormat="false" ht="21.75" hidden="false" customHeight="true" outlineLevel="0" collapsed="false">
      <c r="A52" s="14" t="s">
        <v>87</v>
      </c>
      <c r="B52" s="14"/>
      <c r="C52" s="14"/>
      <c r="D52" s="14"/>
      <c r="E52" s="14"/>
      <c r="F52" s="14"/>
      <c r="G52" s="14"/>
    </row>
    <row r="53" customFormat="false" ht="21.75" hidden="false" customHeight="true" outlineLevel="0" collapsed="false">
      <c r="A53" s="14" t="s">
        <v>88</v>
      </c>
      <c r="B53" s="14"/>
      <c r="C53" s="14"/>
      <c r="D53" s="14"/>
      <c r="E53" s="14"/>
      <c r="F53" s="14"/>
      <c r="G53" s="14"/>
    </row>
    <row r="54" customFormat="false" ht="21.75" hidden="false" customHeight="true" outlineLevel="0" collapsed="false"/>
  </sheetData>
  <mergeCells count="47">
    <mergeCell ref="A1:G1"/>
    <mergeCell ref="A2:G2"/>
    <mergeCell ref="A4:G4"/>
    <mergeCell ref="B5:G5"/>
    <mergeCell ref="B6:G6"/>
    <mergeCell ref="B7:G7"/>
    <mergeCell ref="B8:G8"/>
    <mergeCell ref="B9:G9"/>
    <mergeCell ref="A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A22:G22"/>
    <mergeCell ref="B23:G23"/>
    <mergeCell ref="B24:G24"/>
    <mergeCell ref="B25:G25"/>
    <mergeCell ref="B26:G26"/>
    <mergeCell ref="B27:G27"/>
    <mergeCell ref="B28:G28"/>
    <mergeCell ref="A30:G30"/>
    <mergeCell ref="B31:G31"/>
    <mergeCell ref="B32:G32"/>
    <mergeCell ref="B33:G33"/>
    <mergeCell ref="B34:G34"/>
    <mergeCell ref="B35:G35"/>
    <mergeCell ref="B36:G36"/>
    <mergeCell ref="B37:G37"/>
    <mergeCell ref="A39:G39"/>
    <mergeCell ref="B40:G40"/>
    <mergeCell ref="B41:G41"/>
    <mergeCell ref="B42:G42"/>
    <mergeCell ref="B43:G43"/>
    <mergeCell ref="B44:G44"/>
    <mergeCell ref="B45:G45"/>
    <mergeCell ref="B46:G46"/>
    <mergeCell ref="B47:G47"/>
    <mergeCell ref="A49:G49"/>
    <mergeCell ref="A50:G50"/>
    <mergeCell ref="A51:G51"/>
    <mergeCell ref="A52:G52"/>
    <mergeCell ref="A53:G5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44"/>
  </cols>
  <sheetData>
    <row r="1" customFormat="false" ht="30" hidden="false" customHeight="true" outlineLevel="0" collapsed="false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</row>
    <row r="2" customFormat="false" ht="33.75" hidden="false" customHeight="true" outlineLevel="0" collapsed="false">
      <c r="A2" s="15" t="n">
        <v>1</v>
      </c>
      <c r="B2" s="16" t="s">
        <v>96</v>
      </c>
      <c r="C2" s="8" t="s">
        <v>97</v>
      </c>
      <c r="D2" s="8" t="s">
        <v>98</v>
      </c>
      <c r="E2" s="9" t="s">
        <v>99</v>
      </c>
      <c r="F2" s="9" t="s">
        <v>100</v>
      </c>
      <c r="G2" s="8" t="s">
        <v>101</v>
      </c>
    </row>
    <row r="3" customFormat="false" ht="27.75" hidden="false" customHeight="true" outlineLevel="0" collapsed="false">
      <c r="A3" s="15" t="n">
        <v>2</v>
      </c>
      <c r="B3" s="16" t="s">
        <v>102</v>
      </c>
      <c r="C3" s="8" t="s">
        <v>103</v>
      </c>
      <c r="D3" s="8" t="s">
        <v>103</v>
      </c>
      <c r="E3" s="8" t="s">
        <v>104</v>
      </c>
      <c r="F3" s="9" t="s">
        <v>105</v>
      </c>
      <c r="G3" s="8" t="s">
        <v>106</v>
      </c>
    </row>
    <row r="4" customFormat="false" ht="33.75" hidden="false" customHeight="true" outlineLevel="0" collapsed="false">
      <c r="A4" s="15" t="n">
        <v>3</v>
      </c>
      <c r="B4" s="16" t="s">
        <v>107</v>
      </c>
      <c r="C4" s="8" t="s">
        <v>108</v>
      </c>
      <c r="D4" s="8" t="s">
        <v>108</v>
      </c>
      <c r="E4" s="9" t="s">
        <v>109</v>
      </c>
      <c r="F4" s="9" t="s">
        <v>109</v>
      </c>
      <c r="G4" s="9" t="s">
        <v>110</v>
      </c>
    </row>
    <row r="5" customFormat="false" ht="27.75" hidden="false" customHeight="true" outlineLevel="0" collapsed="false">
      <c r="A5" s="15" t="n">
        <v>4</v>
      </c>
      <c r="B5" s="16" t="s">
        <v>111</v>
      </c>
      <c r="C5" s="8" t="s">
        <v>112</v>
      </c>
      <c r="D5" s="8" t="s">
        <v>112</v>
      </c>
      <c r="E5" s="8" t="s">
        <v>113</v>
      </c>
      <c r="F5" s="9" t="s">
        <v>114</v>
      </c>
      <c r="G5" s="8" t="s">
        <v>115</v>
      </c>
    </row>
    <row r="6" customFormat="false" ht="33.75" hidden="false" customHeight="true" outlineLevel="0" collapsed="false">
      <c r="A6" s="15" t="n">
        <v>5</v>
      </c>
      <c r="B6" s="16" t="s">
        <v>116</v>
      </c>
      <c r="C6" s="8" t="s">
        <v>117</v>
      </c>
      <c r="D6" s="8" t="s">
        <v>118</v>
      </c>
      <c r="E6" s="9" t="s">
        <v>119</v>
      </c>
      <c r="F6" s="9" t="s">
        <v>120</v>
      </c>
      <c r="G6" s="8" t="s">
        <v>121</v>
      </c>
    </row>
    <row r="7" customFormat="false" ht="27.75" hidden="false" customHeight="true" outlineLevel="0" collapsed="false">
      <c r="A7" s="15" t="n">
        <v>6</v>
      </c>
      <c r="B7" s="16" t="s">
        <v>122</v>
      </c>
      <c r="C7" s="8" t="s">
        <v>123</v>
      </c>
      <c r="D7" s="8" t="s">
        <v>123</v>
      </c>
      <c r="E7" s="8" t="s">
        <v>124</v>
      </c>
      <c r="F7" s="9" t="s">
        <v>100</v>
      </c>
      <c r="G7" s="8" t="s">
        <v>125</v>
      </c>
    </row>
    <row r="8" customFormat="false" ht="27.75" hidden="false" customHeight="true" outlineLevel="0" collapsed="false">
      <c r="A8" s="15" t="n">
        <v>7</v>
      </c>
      <c r="B8" s="16" t="s">
        <v>126</v>
      </c>
      <c r="C8" s="8" t="s">
        <v>127</v>
      </c>
      <c r="D8" s="8" t="s">
        <v>128</v>
      </c>
      <c r="E8" s="8" t="s">
        <v>124</v>
      </c>
      <c r="F8" s="9" t="s">
        <v>100</v>
      </c>
      <c r="G8" s="8" t="s">
        <v>129</v>
      </c>
    </row>
    <row r="9" customFormat="false" ht="27.75" hidden="false" customHeight="true" outlineLevel="0" collapsed="false">
      <c r="A9" s="15" t="n">
        <v>8</v>
      </c>
      <c r="B9" s="16" t="s">
        <v>130</v>
      </c>
      <c r="C9" s="8" t="s">
        <v>131</v>
      </c>
      <c r="D9" s="8" t="s">
        <v>132</v>
      </c>
      <c r="E9" s="8" t="s">
        <v>124</v>
      </c>
      <c r="F9" s="9" t="s">
        <v>100</v>
      </c>
      <c r="G9" s="8" t="s">
        <v>133</v>
      </c>
    </row>
    <row r="10" customFormat="false" ht="27.75" hidden="false" customHeight="true" outlineLevel="0" collapsed="false">
      <c r="A10" s="15" t="n">
        <v>9</v>
      </c>
      <c r="B10" s="16" t="s">
        <v>134</v>
      </c>
      <c r="C10" s="8" t="s">
        <v>135</v>
      </c>
      <c r="D10" s="9" t="s">
        <v>136</v>
      </c>
      <c r="E10" s="8" t="s">
        <v>124</v>
      </c>
      <c r="F10" s="9" t="s">
        <v>100</v>
      </c>
      <c r="G10" s="8" t="s">
        <v>137</v>
      </c>
    </row>
    <row r="11" customFormat="false" ht="33.75" hidden="false" customHeight="true" outlineLevel="0" collapsed="false">
      <c r="A11" s="15" t="n">
        <v>10</v>
      </c>
      <c r="B11" s="16" t="s">
        <v>138</v>
      </c>
      <c r="C11" s="8" t="s">
        <v>139</v>
      </c>
      <c r="D11" s="8" t="s">
        <v>139</v>
      </c>
      <c r="E11" s="8" t="s">
        <v>124</v>
      </c>
      <c r="F11" s="9" t="s">
        <v>100</v>
      </c>
      <c r="G11" s="8" t="s">
        <v>140</v>
      </c>
    </row>
    <row r="12" customFormat="false" ht="33.75" hidden="false" customHeight="true" outlineLevel="0" collapsed="false">
      <c r="A12" s="15" t="n">
        <v>11</v>
      </c>
      <c r="B12" s="16" t="s">
        <v>141</v>
      </c>
      <c r="C12" s="8" t="s">
        <v>142</v>
      </c>
      <c r="D12" s="8" t="s">
        <v>142</v>
      </c>
      <c r="E12" s="9" t="s">
        <v>143</v>
      </c>
      <c r="F12" s="9" t="s">
        <v>144</v>
      </c>
      <c r="G12" s="8" t="s">
        <v>145</v>
      </c>
    </row>
    <row r="13" customFormat="false" ht="27.75" hidden="false" customHeight="true" outlineLevel="0" collapsed="false">
      <c r="A13" s="15" t="n">
        <v>12</v>
      </c>
      <c r="B13" s="16" t="s">
        <v>146</v>
      </c>
      <c r="C13" s="8" t="s">
        <v>147</v>
      </c>
      <c r="D13" s="8" t="s">
        <v>147</v>
      </c>
      <c r="E13" s="8" t="s">
        <v>124</v>
      </c>
      <c r="F13" s="9" t="s">
        <v>100</v>
      </c>
      <c r="G13" s="8" t="s">
        <v>148</v>
      </c>
    </row>
    <row r="14" customFormat="false" ht="27.75" hidden="false" customHeight="true" outlineLevel="0" collapsed="false">
      <c r="A14" s="15" t="n">
        <v>13</v>
      </c>
      <c r="B14" s="16" t="s">
        <v>149</v>
      </c>
      <c r="C14" s="8" t="s">
        <v>150</v>
      </c>
      <c r="D14" s="8" t="s">
        <v>150</v>
      </c>
      <c r="E14" s="8" t="s">
        <v>124</v>
      </c>
      <c r="F14" s="9" t="s">
        <v>100</v>
      </c>
      <c r="G14" s="8" t="s">
        <v>148</v>
      </c>
    </row>
    <row r="15" customFormat="false" ht="47.25" hidden="false" customHeight="true" outlineLevel="0" collapsed="false">
      <c r="A15" s="15" t="n">
        <v>14</v>
      </c>
      <c r="B15" s="16" t="s">
        <v>151</v>
      </c>
      <c r="C15" s="8" t="s">
        <v>152</v>
      </c>
      <c r="D15" s="8" t="s">
        <v>152</v>
      </c>
      <c r="E15" s="8" t="s">
        <v>153</v>
      </c>
      <c r="F15" s="9" t="s">
        <v>154</v>
      </c>
      <c r="G15" s="8" t="s">
        <v>155</v>
      </c>
    </row>
    <row r="16" customFormat="false" ht="27.75" hidden="false" customHeight="true" outlineLevel="0" collapsed="false">
      <c r="A16" s="15" t="n">
        <v>15</v>
      </c>
      <c r="B16" s="16" t="s">
        <v>156</v>
      </c>
      <c r="C16" s="8" t="s">
        <v>157</v>
      </c>
      <c r="D16" s="8" t="s">
        <v>157</v>
      </c>
      <c r="E16" s="8" t="s">
        <v>124</v>
      </c>
      <c r="F16" s="9" t="s">
        <v>100</v>
      </c>
      <c r="G16" s="8" t="s">
        <v>158</v>
      </c>
    </row>
    <row r="17" customFormat="false" ht="27.75" hidden="false" customHeight="true" outlineLevel="0" collapsed="false">
      <c r="A17" s="15" t="n">
        <v>16</v>
      </c>
      <c r="B17" s="16" t="s">
        <v>159</v>
      </c>
      <c r="C17" s="8" t="s">
        <v>160</v>
      </c>
      <c r="D17" s="8" t="s">
        <v>160</v>
      </c>
      <c r="E17" s="8" t="s">
        <v>124</v>
      </c>
      <c r="F17" s="9" t="s">
        <v>100</v>
      </c>
      <c r="G17" s="8" t="s">
        <v>158</v>
      </c>
    </row>
    <row r="18" customFormat="false" ht="27.75" hidden="false" customHeight="true" outlineLevel="0" collapsed="false">
      <c r="A18" s="15" t="n">
        <v>17</v>
      </c>
      <c r="B18" s="16" t="s">
        <v>161</v>
      </c>
      <c r="C18" s="8" t="s">
        <v>78</v>
      </c>
      <c r="D18" s="8" t="s">
        <v>78</v>
      </c>
      <c r="E18" s="8" t="s">
        <v>124</v>
      </c>
      <c r="F18" s="9" t="s">
        <v>100</v>
      </c>
      <c r="G18" s="8" t="s">
        <v>162</v>
      </c>
    </row>
    <row r="19" customFormat="false" ht="27.75" hidden="false" customHeight="true" outlineLevel="0" collapsed="false">
      <c r="A19" s="15" t="n">
        <v>18</v>
      </c>
      <c r="B19" s="16" t="s">
        <v>163</v>
      </c>
      <c r="C19" s="8" t="s">
        <v>164</v>
      </c>
      <c r="D19" s="8" t="s">
        <v>164</v>
      </c>
      <c r="E19" s="9" t="s">
        <v>165</v>
      </c>
      <c r="F19" s="9" t="s">
        <v>166</v>
      </c>
      <c r="G19" s="8" t="s">
        <v>167</v>
      </c>
    </row>
    <row r="20" customFormat="false" ht="27.75" hidden="false" customHeight="true" outlineLevel="0" collapsed="false">
      <c r="A20" s="15" t="n">
        <v>19</v>
      </c>
      <c r="B20" s="16" t="s">
        <v>168</v>
      </c>
      <c r="C20" s="8" t="s">
        <v>169</v>
      </c>
      <c r="D20" s="8" t="s">
        <v>169</v>
      </c>
      <c r="E20" s="9" t="s">
        <v>170</v>
      </c>
      <c r="F20" s="9" t="s">
        <v>171</v>
      </c>
      <c r="G20" s="8" t="s">
        <v>172</v>
      </c>
    </row>
    <row r="21" customFormat="false" ht="33.75" hidden="false" customHeight="true" outlineLevel="0" collapsed="false">
      <c r="A21" s="15" t="n">
        <v>20</v>
      </c>
      <c r="B21" s="16" t="s">
        <v>173</v>
      </c>
      <c r="C21" s="8" t="s">
        <v>174</v>
      </c>
      <c r="D21" s="8" t="s">
        <v>175</v>
      </c>
      <c r="E21" s="9" t="s">
        <v>176</v>
      </c>
      <c r="F21" s="9" t="s">
        <v>177</v>
      </c>
      <c r="G21" s="8" t="s">
        <v>178</v>
      </c>
    </row>
    <row r="22" customFormat="false" ht="33.75" hidden="false" customHeight="true" outlineLevel="0" collapsed="false">
      <c r="A22" s="15" t="n">
        <v>21</v>
      </c>
      <c r="B22" s="16" t="s">
        <v>179</v>
      </c>
      <c r="C22" s="8" t="s">
        <v>180</v>
      </c>
      <c r="D22" s="8" t="s">
        <v>181</v>
      </c>
      <c r="E22" s="9" t="s">
        <v>182</v>
      </c>
      <c r="F22" s="9" t="s">
        <v>183</v>
      </c>
      <c r="G22" s="8" t="s">
        <v>184</v>
      </c>
    </row>
    <row r="23" customFormat="false" ht="27.75" hidden="false" customHeight="true" outlineLevel="0" collapsed="false">
      <c r="A23" s="15" t="n">
        <v>22</v>
      </c>
      <c r="B23" s="16" t="s">
        <v>185</v>
      </c>
      <c r="C23" s="8" t="s">
        <v>186</v>
      </c>
      <c r="D23" s="8" t="s">
        <v>187</v>
      </c>
      <c r="E23" s="9" t="s">
        <v>188</v>
      </c>
      <c r="F23" s="9" t="s">
        <v>183</v>
      </c>
      <c r="G23" s="8" t="s">
        <v>189</v>
      </c>
    </row>
    <row r="24" customFormat="false" ht="27.75" hidden="false" customHeight="true" outlineLevel="0" collapsed="false">
      <c r="A24" s="15" t="n">
        <v>23</v>
      </c>
      <c r="B24" s="16" t="s">
        <v>190</v>
      </c>
      <c r="C24" s="8" t="s">
        <v>191</v>
      </c>
      <c r="D24" s="8" t="s">
        <v>192</v>
      </c>
      <c r="E24" s="9" t="s">
        <v>193</v>
      </c>
      <c r="F24" s="9" t="s">
        <v>194</v>
      </c>
      <c r="G24" s="9" t="s">
        <v>195</v>
      </c>
    </row>
    <row r="25" customFormat="false" ht="33.75" hidden="false" customHeight="true" outlineLevel="0" collapsed="false">
      <c r="A25" s="15" t="n">
        <v>24</v>
      </c>
      <c r="B25" s="16" t="s">
        <v>196</v>
      </c>
      <c r="C25" s="8" t="s">
        <v>197</v>
      </c>
      <c r="D25" s="8" t="s">
        <v>198</v>
      </c>
      <c r="E25" s="9" t="s">
        <v>199</v>
      </c>
      <c r="F25" s="9" t="s">
        <v>200</v>
      </c>
      <c r="G25" s="9" t="s">
        <v>201</v>
      </c>
    </row>
    <row r="26" customFormat="false" ht="27.75" hidden="false" customHeight="true" outlineLevel="0" collapsed="false">
      <c r="A26" s="15" t="n">
        <v>25</v>
      </c>
      <c r="B26" s="16" t="s">
        <v>202</v>
      </c>
      <c r="C26" s="8" t="s">
        <v>203</v>
      </c>
      <c r="D26" s="8" t="s">
        <v>204</v>
      </c>
      <c r="E26" s="9" t="s">
        <v>205</v>
      </c>
      <c r="F26" s="9" t="s">
        <v>206</v>
      </c>
      <c r="G26" s="8" t="s">
        <v>207</v>
      </c>
    </row>
    <row r="27" customFormat="false" ht="33.75" hidden="false" customHeight="true" outlineLevel="0" collapsed="false">
      <c r="A27" s="15" t="n">
        <v>26</v>
      </c>
      <c r="B27" s="16" t="s">
        <v>208</v>
      </c>
      <c r="C27" s="8" t="s">
        <v>209</v>
      </c>
      <c r="D27" s="8" t="s">
        <v>210</v>
      </c>
      <c r="E27" s="9" t="s">
        <v>205</v>
      </c>
      <c r="F27" s="9" t="s">
        <v>206</v>
      </c>
      <c r="G27" s="8" t="s">
        <v>211</v>
      </c>
    </row>
    <row r="28" customFormat="false" ht="27.75" hidden="false" customHeight="true" outlineLevel="0" collapsed="false">
      <c r="A28" s="15" t="n">
        <v>27</v>
      </c>
      <c r="B28" s="16" t="s">
        <v>212</v>
      </c>
      <c r="C28" s="8" t="s">
        <v>213</v>
      </c>
      <c r="D28" s="8" t="s">
        <v>214</v>
      </c>
      <c r="E28" s="9" t="s">
        <v>215</v>
      </c>
      <c r="F28" s="9" t="s">
        <v>100</v>
      </c>
      <c r="G28" s="9" t="s">
        <v>216</v>
      </c>
    </row>
    <row r="29" customFormat="false" ht="27.75" hidden="false" customHeight="true" outlineLevel="0" collapsed="false">
      <c r="A29" s="15" t="n">
        <v>28</v>
      </c>
      <c r="B29" s="16" t="s">
        <v>217</v>
      </c>
      <c r="C29" s="8" t="s">
        <v>218</v>
      </c>
      <c r="D29" s="8" t="s">
        <v>214</v>
      </c>
      <c r="E29" s="9" t="s">
        <v>219</v>
      </c>
      <c r="F29" s="9" t="s">
        <v>220</v>
      </c>
      <c r="G29" s="8" t="s">
        <v>221</v>
      </c>
    </row>
    <row r="30" customFormat="false" ht="27.75" hidden="false" customHeight="true" outlineLevel="0" collapsed="false">
      <c r="A30" s="15" t="n">
        <v>29</v>
      </c>
      <c r="B30" s="16" t="s">
        <v>222</v>
      </c>
      <c r="C30" s="8" t="s">
        <v>223</v>
      </c>
      <c r="D30" s="8" t="s">
        <v>223</v>
      </c>
      <c r="E30" s="8" t="s">
        <v>124</v>
      </c>
      <c r="F30" s="9" t="s">
        <v>100</v>
      </c>
      <c r="G30" s="8" t="s">
        <v>224</v>
      </c>
    </row>
    <row r="31" customFormat="false" ht="27.75" hidden="false" customHeight="true" outlineLevel="0" collapsed="false">
      <c r="A31" s="15" t="n">
        <v>30</v>
      </c>
      <c r="B31" s="16" t="s">
        <v>225</v>
      </c>
      <c r="C31" s="8" t="s">
        <v>226</v>
      </c>
      <c r="D31" s="8" t="s">
        <v>227</v>
      </c>
      <c r="E31" s="9" t="s">
        <v>228</v>
      </c>
      <c r="F31" s="9" t="s">
        <v>229</v>
      </c>
      <c r="G31" s="8" t="s">
        <v>230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9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3" min="12" style="0" width="12"/>
    <col collapsed="false" customWidth="true" hidden="false" outlineLevel="0" max="14" min="14" style="0" width="40"/>
    <col collapsed="false" customWidth="true" hidden="false" outlineLevel="0" max="16" min="15" style="0" width="11"/>
    <col collapsed="false" customWidth="true" hidden="false" outlineLevel="0" max="19" min="17" style="0" width="14"/>
    <col collapsed="false" customWidth="true" hidden="false" outlineLevel="0" max="20" min="20" style="0" width="28"/>
    <col collapsed="false" customWidth="true" hidden="false" outlineLevel="0" max="26" min="21" style="0" width="14"/>
    <col collapsed="false" customWidth="true" hidden="false" outlineLevel="0" max="28" min="27" style="0" width="15"/>
    <col collapsed="false" customWidth="true" hidden="false" outlineLevel="0" max="30" min="29" style="0" width="12"/>
  </cols>
  <sheetData>
    <row r="1" customFormat="false" ht="45.75" hidden="false" customHeight="true" outlineLevel="0" collapsed="false">
      <c r="A1" s="7" t="s">
        <v>231</v>
      </c>
      <c r="B1" s="7" t="s">
        <v>232</v>
      </c>
      <c r="C1" s="7" t="s">
        <v>233</v>
      </c>
      <c r="D1" s="7" t="s">
        <v>234</v>
      </c>
      <c r="E1" s="7" t="s">
        <v>235</v>
      </c>
      <c r="F1" s="7" t="s">
        <v>236</v>
      </c>
      <c r="G1" s="7" t="s">
        <v>237</v>
      </c>
      <c r="H1" s="7" t="s">
        <v>238</v>
      </c>
      <c r="I1" s="7" t="s">
        <v>239</v>
      </c>
      <c r="J1" s="7" t="s">
        <v>240</v>
      </c>
      <c r="K1" s="7" t="s">
        <v>241</v>
      </c>
      <c r="L1" s="7" t="s">
        <v>242</v>
      </c>
      <c r="M1" s="7" t="s">
        <v>243</v>
      </c>
      <c r="N1" s="7" t="s">
        <v>244</v>
      </c>
      <c r="O1" s="7" t="s">
        <v>245</v>
      </c>
      <c r="P1" s="7" t="s">
        <v>246</v>
      </c>
      <c r="Q1" s="7" t="s">
        <v>247</v>
      </c>
      <c r="R1" s="7" t="s">
        <v>248</v>
      </c>
      <c r="S1" s="7" t="s">
        <v>249</v>
      </c>
      <c r="T1" s="7" t="s">
        <v>250</v>
      </c>
      <c r="U1" s="7" t="s">
        <v>251</v>
      </c>
      <c r="V1" s="7" t="s">
        <v>252</v>
      </c>
      <c r="W1" s="7" t="s">
        <v>253</v>
      </c>
      <c r="X1" s="7" t="s">
        <v>254</v>
      </c>
      <c r="Y1" s="7" t="s">
        <v>255</v>
      </c>
      <c r="Z1" s="7" t="s">
        <v>256</v>
      </c>
      <c r="AA1" s="7" t="s">
        <v>257</v>
      </c>
      <c r="AB1" s="7" t="s">
        <v>258</v>
      </c>
      <c r="AC1" s="7" t="s">
        <v>259</v>
      </c>
      <c r="AD1" s="7" t="s">
        <v>260</v>
      </c>
    </row>
    <row r="2" customFormat="false" ht="60" hidden="false" customHeight="true" outlineLevel="0" collapsed="false">
      <c r="A2" s="17" t="s">
        <v>99</v>
      </c>
      <c r="B2" s="18" t="s">
        <v>104</v>
      </c>
      <c r="C2" s="17" t="s">
        <v>109</v>
      </c>
      <c r="D2" s="18" t="s">
        <v>261</v>
      </c>
      <c r="E2" s="17" t="s">
        <v>119</v>
      </c>
      <c r="F2" s="18" t="s">
        <v>124</v>
      </c>
      <c r="G2" s="18" t="s">
        <v>124</v>
      </c>
      <c r="H2" s="18" t="s">
        <v>124</v>
      </c>
      <c r="I2" s="18" t="s">
        <v>124</v>
      </c>
      <c r="J2" s="18" t="s">
        <v>124</v>
      </c>
      <c r="K2" s="17" t="s">
        <v>262</v>
      </c>
      <c r="L2" s="18" t="s">
        <v>124</v>
      </c>
      <c r="M2" s="18" t="s">
        <v>124</v>
      </c>
      <c r="N2" s="18" t="s">
        <v>153</v>
      </c>
      <c r="O2" s="18" t="s">
        <v>124</v>
      </c>
      <c r="P2" s="18" t="s">
        <v>124</v>
      </c>
      <c r="Q2" s="18" t="s">
        <v>124</v>
      </c>
      <c r="R2" s="17" t="s">
        <v>263</v>
      </c>
      <c r="S2" s="17" t="s">
        <v>264</v>
      </c>
      <c r="T2" s="17" t="s">
        <v>265</v>
      </c>
      <c r="U2" s="19" t="n">
        <v>4500</v>
      </c>
      <c r="V2" s="19" t="n">
        <v>4500</v>
      </c>
      <c r="W2" s="19" t="n">
        <v>1299</v>
      </c>
      <c r="X2" s="19" t="n">
        <v>299</v>
      </c>
      <c r="Y2" s="19" t="n">
        <v>99</v>
      </c>
      <c r="Z2" s="19" t="n">
        <v>99</v>
      </c>
      <c r="AA2" s="19" t="n">
        <v>5898</v>
      </c>
      <c r="AB2" s="19" t="n">
        <v>4898</v>
      </c>
      <c r="AC2" s="18" t="s">
        <v>124</v>
      </c>
      <c r="AD2" s="17" t="s">
        <v>228</v>
      </c>
    </row>
    <row r="4" customFormat="false" ht="15" hidden="false" customHeight="false" outlineLevel="0" collapsed="false">
      <c r="A4" s="20" t="s">
        <v>266</v>
      </c>
      <c r="B4" s="20"/>
      <c r="C4" s="20"/>
      <c r="D4" s="20"/>
      <c r="E4" s="20"/>
      <c r="F4" s="20"/>
      <c r="G4" s="20"/>
    </row>
    <row r="5" customFormat="false" ht="19.5" hidden="false" customHeight="true" outlineLevel="0" collapsed="false">
      <c r="A5" s="21" t="s">
        <v>267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2" t="n">
        <f aca="false">V2+X2+Z2</f>
        <v>4898</v>
      </c>
      <c r="V5" s="23" t="str">
        <f aca="false">IF(U5=AB2,"通过","不一致")</f>
        <v>通过</v>
      </c>
      <c r="W5" s="24" t="s">
        <v>268</v>
      </c>
      <c r="X5" s="24"/>
      <c r="Y5" s="24"/>
      <c r="Z5" s="24"/>
      <c r="AA5" s="24"/>
      <c r="AB5" s="24"/>
      <c r="AC5" s="24"/>
      <c r="AD5" s="24"/>
    </row>
    <row r="6" customFormat="false" ht="19.5" hidden="false" customHeight="true" outlineLevel="0" collapsed="false">
      <c r="A6" s="21" t="s">
        <v>269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2" t="n">
        <f aca="false">U2+W2+Y2</f>
        <v>5898</v>
      </c>
      <c r="V6" s="23" t="str">
        <f aca="false">IF(U6=AA2,"通过","不一致")</f>
        <v>通过</v>
      </c>
      <c r="W6" s="24" t="s">
        <v>270</v>
      </c>
      <c r="X6" s="24"/>
      <c r="Y6" s="24"/>
      <c r="Z6" s="24"/>
      <c r="AA6" s="24"/>
      <c r="AB6" s="24"/>
      <c r="AC6" s="24"/>
      <c r="AD6" s="24"/>
    </row>
    <row r="7" customFormat="false" ht="19.5" hidden="false" customHeight="true" outlineLevel="0" collapsed="false">
      <c r="A7" s="21" t="s">
        <v>271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2" t="n">
        <f aca="false">W2-X2</f>
        <v>1000</v>
      </c>
      <c r="V7" s="23" t="str">
        <f aca="false">IF(U7=1000,"通过","不一致")</f>
        <v>通过</v>
      </c>
      <c r="W7" s="24" t="s">
        <v>272</v>
      </c>
      <c r="X7" s="24"/>
      <c r="Y7" s="24"/>
      <c r="Z7" s="24"/>
      <c r="AA7" s="24"/>
      <c r="AB7" s="24"/>
      <c r="AC7" s="24"/>
      <c r="AD7" s="24"/>
    </row>
  </sheetData>
  <mergeCells count="7">
    <mergeCell ref="A4:G4"/>
    <mergeCell ref="A5:T5"/>
    <mergeCell ref="W5:AD5"/>
    <mergeCell ref="A6:T6"/>
    <mergeCell ref="W6:AD6"/>
    <mergeCell ref="A7:T7"/>
    <mergeCell ref="W7:AD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38"/>
  </cols>
  <sheetData>
    <row r="1" customFormat="false" ht="30" hidden="false" customHeight="true" outlineLevel="0" collapsed="false">
      <c r="A1" s="7" t="s">
        <v>89</v>
      </c>
      <c r="B1" s="7" t="s">
        <v>273</v>
      </c>
      <c r="C1" s="7" t="s">
        <v>274</v>
      </c>
      <c r="D1" s="7" t="s">
        <v>275</v>
      </c>
      <c r="E1" s="7" t="s">
        <v>276</v>
      </c>
    </row>
    <row r="2" customFormat="false" ht="33.75" hidden="false" customHeight="true" outlineLevel="0" collapsed="false">
      <c r="A2" s="15" t="n">
        <v>1</v>
      </c>
      <c r="B2" s="9" t="s">
        <v>262</v>
      </c>
      <c r="C2" s="8" t="s">
        <v>277</v>
      </c>
      <c r="D2" s="9" t="s">
        <v>278</v>
      </c>
      <c r="E2" s="9" t="s">
        <v>279</v>
      </c>
    </row>
    <row r="3" customFormat="false" ht="33.75" hidden="false" customHeight="true" outlineLevel="0" collapsed="false">
      <c r="A3" s="15" t="n">
        <v>2</v>
      </c>
      <c r="B3" s="9" t="s">
        <v>177</v>
      </c>
      <c r="C3" s="9" t="s">
        <v>176</v>
      </c>
      <c r="D3" s="9" t="s">
        <v>183</v>
      </c>
      <c r="E3" s="8" t="s">
        <v>280</v>
      </c>
    </row>
    <row r="4" customFormat="false" ht="33.75" hidden="false" customHeight="true" outlineLevel="0" collapsed="false">
      <c r="A4" s="15" t="n">
        <v>3</v>
      </c>
      <c r="B4" s="9" t="s">
        <v>281</v>
      </c>
      <c r="C4" s="8" t="s">
        <v>282</v>
      </c>
      <c r="D4" s="9" t="s">
        <v>283</v>
      </c>
      <c r="E4" s="9" t="s">
        <v>284</v>
      </c>
    </row>
    <row r="5" customFormat="false" ht="30" hidden="false" customHeight="true" outlineLevel="0" collapsed="false">
      <c r="A5" s="15" t="n">
        <v>4</v>
      </c>
      <c r="B5" s="8" t="s">
        <v>285</v>
      </c>
      <c r="C5" s="8" t="s">
        <v>286</v>
      </c>
      <c r="D5" s="9" t="s">
        <v>287</v>
      </c>
      <c r="E5" s="8" t="s">
        <v>288</v>
      </c>
    </row>
    <row r="6" customFormat="false" ht="33.75" hidden="false" customHeight="true" outlineLevel="0" collapsed="false">
      <c r="A6" s="15" t="n">
        <v>5</v>
      </c>
      <c r="B6" s="9" t="s">
        <v>289</v>
      </c>
      <c r="C6" s="8" t="s">
        <v>290</v>
      </c>
      <c r="D6" s="9" t="s">
        <v>100</v>
      </c>
      <c r="E6" s="8" t="s">
        <v>291</v>
      </c>
    </row>
    <row r="7" customFormat="false" ht="30" hidden="false" customHeight="true" outlineLevel="0" collapsed="false">
      <c r="A7" s="15" t="n">
        <v>6</v>
      </c>
      <c r="B7" s="9" t="s">
        <v>292</v>
      </c>
      <c r="C7" s="8" t="s">
        <v>293</v>
      </c>
      <c r="D7" s="9" t="s">
        <v>100</v>
      </c>
      <c r="E7" s="8" t="s">
        <v>294</v>
      </c>
    </row>
    <row r="8" customFormat="false" ht="30" hidden="false" customHeight="true" outlineLevel="0" collapsed="false">
      <c r="A8" s="15" t="n">
        <v>7</v>
      </c>
      <c r="B8" s="9" t="s">
        <v>295</v>
      </c>
      <c r="C8" s="8" t="s">
        <v>296</v>
      </c>
      <c r="D8" s="9" t="s">
        <v>100</v>
      </c>
      <c r="E8" s="8" t="s">
        <v>297</v>
      </c>
    </row>
    <row r="9" customFormat="false" ht="30" hidden="false" customHeight="true" outlineLevel="0" collapsed="false">
      <c r="A9" s="15" t="n">
        <v>8</v>
      </c>
      <c r="B9" s="9" t="s">
        <v>298</v>
      </c>
      <c r="C9" s="8" t="s">
        <v>299</v>
      </c>
      <c r="D9" s="9" t="s">
        <v>100</v>
      </c>
      <c r="E9" s="8" t="s">
        <v>300</v>
      </c>
    </row>
    <row r="10" customFormat="false" ht="30" hidden="false" customHeight="true" outlineLevel="0" collapsed="false">
      <c r="A10" s="15" t="n">
        <v>9</v>
      </c>
      <c r="B10" s="9" t="s">
        <v>301</v>
      </c>
      <c r="C10" s="8" t="s">
        <v>302</v>
      </c>
      <c r="D10" s="9" t="s">
        <v>183</v>
      </c>
      <c r="E10" s="8" t="s">
        <v>303</v>
      </c>
    </row>
    <row r="11" customFormat="false" ht="30" hidden="false" customHeight="true" outlineLevel="0" collapsed="false">
      <c r="A11" s="15" t="n">
        <v>10</v>
      </c>
      <c r="B11" s="9" t="s">
        <v>304</v>
      </c>
      <c r="C11" s="8" t="s">
        <v>55</v>
      </c>
      <c r="D11" s="8" t="s">
        <v>305</v>
      </c>
      <c r="E11" s="8" t="s">
        <v>306</v>
      </c>
    </row>
    <row r="12" customFormat="false" ht="30" hidden="false" customHeight="true" outlineLevel="0" collapsed="false">
      <c r="A12" s="15" t="n">
        <v>11</v>
      </c>
      <c r="B12" s="9" t="s">
        <v>307</v>
      </c>
      <c r="C12" s="8" t="s">
        <v>57</v>
      </c>
      <c r="D12" s="9" t="s">
        <v>206</v>
      </c>
      <c r="E12" s="8" t="s">
        <v>308</v>
      </c>
    </row>
    <row r="13" customFormat="false" ht="30" hidden="false" customHeight="true" outlineLevel="0" collapsed="false">
      <c r="A13" s="15" t="n">
        <v>12</v>
      </c>
      <c r="B13" s="9" t="s">
        <v>309</v>
      </c>
      <c r="C13" s="8" t="s">
        <v>59</v>
      </c>
      <c r="D13" s="9" t="s">
        <v>310</v>
      </c>
      <c r="E13" s="8" t="s">
        <v>311</v>
      </c>
    </row>
    <row r="14" customFormat="false" ht="30" hidden="false" customHeight="true" outlineLevel="0" collapsed="false">
      <c r="A14" s="15" t="n">
        <v>13</v>
      </c>
      <c r="B14" s="9" t="s">
        <v>312</v>
      </c>
      <c r="C14" s="8" t="s">
        <v>313</v>
      </c>
      <c r="D14" s="9" t="s">
        <v>314</v>
      </c>
      <c r="E14" s="8" t="s">
        <v>315</v>
      </c>
    </row>
    <row r="15" customFormat="false" ht="30" hidden="false" customHeight="true" outlineLevel="0" collapsed="false">
      <c r="A15" s="15" t="n">
        <v>14</v>
      </c>
      <c r="B15" s="9" t="s">
        <v>316</v>
      </c>
      <c r="C15" s="8" t="s">
        <v>317</v>
      </c>
      <c r="D15" s="9" t="s">
        <v>100</v>
      </c>
      <c r="E15" s="8" t="s">
        <v>318</v>
      </c>
    </row>
    <row r="16" customFormat="false" ht="30" hidden="false" customHeight="true" outlineLevel="0" collapsed="false">
      <c r="A16" s="15" t="n">
        <v>15</v>
      </c>
      <c r="B16" s="9" t="s">
        <v>319</v>
      </c>
      <c r="C16" s="8" t="s">
        <v>320</v>
      </c>
      <c r="D16" s="9" t="s">
        <v>321</v>
      </c>
      <c r="E16" s="8" t="s">
        <v>322</v>
      </c>
    </row>
    <row r="17" customFormat="false" ht="33.75" hidden="false" customHeight="true" outlineLevel="0" collapsed="false">
      <c r="A17" s="15" t="n">
        <v>16</v>
      </c>
      <c r="B17" s="9" t="s">
        <v>323</v>
      </c>
      <c r="C17" s="8" t="s">
        <v>324</v>
      </c>
      <c r="D17" s="9" t="s">
        <v>325</v>
      </c>
      <c r="E17" s="8" t="s">
        <v>326</v>
      </c>
    </row>
    <row r="18" customFormat="false" ht="30" hidden="false" customHeight="true" outlineLevel="0" collapsed="false">
      <c r="A18" s="15" t="n">
        <v>17</v>
      </c>
      <c r="B18" s="9" t="s">
        <v>327</v>
      </c>
      <c r="C18" s="8" t="s">
        <v>328</v>
      </c>
      <c r="D18" s="9" t="s">
        <v>100</v>
      </c>
      <c r="E18" s="8" t="s">
        <v>329</v>
      </c>
    </row>
    <row r="19" customFormat="false" ht="30" hidden="false" customHeight="true" outlineLevel="0" collapsed="false">
      <c r="A19" s="15" t="n">
        <v>18</v>
      </c>
      <c r="B19" s="9" t="s">
        <v>330</v>
      </c>
      <c r="C19" s="8" t="s">
        <v>331</v>
      </c>
      <c r="D19" s="9" t="s">
        <v>100</v>
      </c>
      <c r="E19" s="8" t="s">
        <v>332</v>
      </c>
    </row>
    <row r="20" customFormat="false" ht="33.75" hidden="false" customHeight="true" outlineLevel="0" collapsed="false">
      <c r="A20" s="15" t="n">
        <v>19</v>
      </c>
      <c r="B20" s="9" t="s">
        <v>333</v>
      </c>
      <c r="C20" s="9" t="s">
        <v>334</v>
      </c>
      <c r="D20" s="9" t="s">
        <v>100</v>
      </c>
      <c r="E20" s="8" t="s">
        <v>335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9.4" hidden="false" customHeight="false" outlineLevel="0" collapsed="false">
      <c r="A1" s="25" t="s">
        <v>336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2026-10-21T05:10:00Z</dcterms:created>
  <dc:creator>openpyxl</dc:creator>
  <dc:description/>
  <dc:language>en-US</dc:language>
  <cp:lastModifiedBy/>
  <dcterms:modified xsi:type="dcterms:W3CDTF">2026-10-21T05:10:00Z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